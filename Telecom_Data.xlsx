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\Excel\2. Procurment Analysis\Assaignment\"/>
    </mc:Choice>
  </mc:AlternateContent>
  <xr:revisionPtr revIDLastSave="0" documentId="13_ncr:1_{8D95F3DB-5A3B-456F-9613-FDD829FAE840}" xr6:coauthVersionLast="47" xr6:coauthVersionMax="47" xr10:uidLastSave="{00000000-0000-0000-0000-000000000000}"/>
  <bookViews>
    <workbookView xWindow="-110" yWindow="-110" windowWidth="19420" windowHeight="10420" tabRatio="699" activeTab="6" xr2:uid="{00000000-000D-0000-FFFF-FFFF00000000}"/>
  </bookViews>
  <sheets>
    <sheet name="ReadMe" sheetId="1" r:id="rId1"/>
    <sheet name="Dim_Plan" sheetId="2" r:id="rId2"/>
    <sheet name="Dim_Region" sheetId="3" r:id="rId3"/>
    <sheet name="Dim_ServiceType" sheetId="4" r:id="rId4"/>
    <sheet name="Dim_Agent" sheetId="5" r:id="rId5"/>
    <sheet name="Dim_Date" sheetId="6" r:id="rId6"/>
    <sheet name="Fact_Ticke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01" i="7" l="1"/>
  <c r="O1001" i="7"/>
  <c r="N1001" i="7"/>
  <c r="M1001" i="7"/>
  <c r="L1001" i="7"/>
  <c r="P1000" i="7"/>
  <c r="O1000" i="7"/>
  <c r="N1000" i="7"/>
  <c r="M1000" i="7"/>
  <c r="L1000" i="7"/>
  <c r="P999" i="7"/>
  <c r="O999" i="7"/>
  <c r="N999" i="7"/>
  <c r="M999" i="7"/>
  <c r="L999" i="7"/>
  <c r="P998" i="7"/>
  <c r="O998" i="7"/>
  <c r="N998" i="7"/>
  <c r="M998" i="7"/>
  <c r="L998" i="7"/>
  <c r="P997" i="7"/>
  <c r="O997" i="7"/>
  <c r="N997" i="7"/>
  <c r="M997" i="7"/>
  <c r="L997" i="7"/>
  <c r="P996" i="7"/>
  <c r="O996" i="7"/>
  <c r="N996" i="7"/>
  <c r="M996" i="7"/>
  <c r="L996" i="7"/>
  <c r="P995" i="7"/>
  <c r="O995" i="7"/>
  <c r="N995" i="7"/>
  <c r="M995" i="7"/>
  <c r="L995" i="7"/>
  <c r="P994" i="7"/>
  <c r="O994" i="7"/>
  <c r="N994" i="7"/>
  <c r="M994" i="7"/>
  <c r="L994" i="7"/>
  <c r="P993" i="7"/>
  <c r="O993" i="7"/>
  <c r="N993" i="7"/>
  <c r="M993" i="7"/>
  <c r="L993" i="7"/>
  <c r="P992" i="7"/>
  <c r="O992" i="7"/>
  <c r="N992" i="7"/>
  <c r="M992" i="7"/>
  <c r="L992" i="7"/>
  <c r="P991" i="7"/>
  <c r="O991" i="7"/>
  <c r="N991" i="7"/>
  <c r="M991" i="7"/>
  <c r="L991" i="7"/>
  <c r="P990" i="7"/>
  <c r="O990" i="7"/>
  <c r="N990" i="7"/>
  <c r="M990" i="7"/>
  <c r="L990" i="7"/>
  <c r="P989" i="7"/>
  <c r="O989" i="7"/>
  <c r="N989" i="7"/>
  <c r="M989" i="7"/>
  <c r="L989" i="7"/>
  <c r="P988" i="7"/>
  <c r="O988" i="7"/>
  <c r="N988" i="7"/>
  <c r="M988" i="7"/>
  <c r="L988" i="7"/>
  <c r="P987" i="7"/>
  <c r="O987" i="7"/>
  <c r="N987" i="7"/>
  <c r="M987" i="7"/>
  <c r="L987" i="7"/>
  <c r="P986" i="7"/>
  <c r="O986" i="7"/>
  <c r="N986" i="7"/>
  <c r="M986" i="7"/>
  <c r="L986" i="7"/>
  <c r="P985" i="7"/>
  <c r="O985" i="7"/>
  <c r="N985" i="7"/>
  <c r="M985" i="7"/>
  <c r="L985" i="7"/>
  <c r="P984" i="7"/>
  <c r="O984" i="7"/>
  <c r="N984" i="7"/>
  <c r="M984" i="7"/>
  <c r="L984" i="7"/>
  <c r="P983" i="7"/>
  <c r="O983" i="7"/>
  <c r="N983" i="7"/>
  <c r="M983" i="7"/>
  <c r="L983" i="7"/>
  <c r="P982" i="7"/>
  <c r="O982" i="7"/>
  <c r="N982" i="7"/>
  <c r="M982" i="7"/>
  <c r="L982" i="7"/>
  <c r="P981" i="7"/>
  <c r="O981" i="7"/>
  <c r="N981" i="7"/>
  <c r="M981" i="7"/>
  <c r="L981" i="7"/>
  <c r="P980" i="7"/>
  <c r="O980" i="7"/>
  <c r="N980" i="7"/>
  <c r="M980" i="7"/>
  <c r="L980" i="7"/>
  <c r="P979" i="7"/>
  <c r="O979" i="7"/>
  <c r="N979" i="7"/>
  <c r="M979" i="7"/>
  <c r="L979" i="7"/>
  <c r="P978" i="7"/>
  <c r="O978" i="7"/>
  <c r="N978" i="7"/>
  <c r="M978" i="7"/>
  <c r="L978" i="7"/>
  <c r="P977" i="7"/>
  <c r="O977" i="7"/>
  <c r="N977" i="7"/>
  <c r="M977" i="7"/>
  <c r="L977" i="7"/>
  <c r="P976" i="7"/>
  <c r="O976" i="7"/>
  <c r="N976" i="7"/>
  <c r="M976" i="7"/>
  <c r="L976" i="7"/>
  <c r="P975" i="7"/>
  <c r="O975" i="7"/>
  <c r="N975" i="7"/>
  <c r="M975" i="7"/>
  <c r="L975" i="7"/>
  <c r="P974" i="7"/>
  <c r="O974" i="7"/>
  <c r="N974" i="7"/>
  <c r="M974" i="7"/>
  <c r="L974" i="7"/>
  <c r="P973" i="7"/>
  <c r="O973" i="7"/>
  <c r="N973" i="7"/>
  <c r="M973" i="7"/>
  <c r="L973" i="7"/>
  <c r="P972" i="7"/>
  <c r="O972" i="7"/>
  <c r="N972" i="7"/>
  <c r="M972" i="7"/>
  <c r="L972" i="7"/>
  <c r="P971" i="7"/>
  <c r="O971" i="7"/>
  <c r="N971" i="7"/>
  <c r="M971" i="7"/>
  <c r="L971" i="7"/>
  <c r="P970" i="7"/>
  <c r="O970" i="7"/>
  <c r="N970" i="7"/>
  <c r="M970" i="7"/>
  <c r="L970" i="7"/>
  <c r="P969" i="7"/>
  <c r="O969" i="7"/>
  <c r="N969" i="7"/>
  <c r="M969" i="7"/>
  <c r="L969" i="7"/>
  <c r="P968" i="7"/>
  <c r="O968" i="7"/>
  <c r="N968" i="7"/>
  <c r="M968" i="7"/>
  <c r="L968" i="7"/>
  <c r="P967" i="7"/>
  <c r="O967" i="7"/>
  <c r="N967" i="7"/>
  <c r="M967" i="7"/>
  <c r="L967" i="7"/>
  <c r="P966" i="7"/>
  <c r="O966" i="7"/>
  <c r="N966" i="7"/>
  <c r="M966" i="7"/>
  <c r="L966" i="7"/>
  <c r="P965" i="7"/>
  <c r="O965" i="7"/>
  <c r="N965" i="7"/>
  <c r="M965" i="7"/>
  <c r="L965" i="7"/>
  <c r="P964" i="7"/>
  <c r="O964" i="7"/>
  <c r="N964" i="7"/>
  <c r="M964" i="7"/>
  <c r="L964" i="7"/>
  <c r="P963" i="7"/>
  <c r="O963" i="7"/>
  <c r="N963" i="7"/>
  <c r="M963" i="7"/>
  <c r="L963" i="7"/>
  <c r="P962" i="7"/>
  <c r="O962" i="7"/>
  <c r="N962" i="7"/>
  <c r="M962" i="7"/>
  <c r="L962" i="7"/>
  <c r="P961" i="7"/>
  <c r="O961" i="7"/>
  <c r="N961" i="7"/>
  <c r="M961" i="7"/>
  <c r="L961" i="7"/>
  <c r="P960" i="7"/>
  <c r="O960" i="7"/>
  <c r="N960" i="7"/>
  <c r="M960" i="7"/>
  <c r="L960" i="7"/>
  <c r="P959" i="7"/>
  <c r="O959" i="7"/>
  <c r="N959" i="7"/>
  <c r="M959" i="7"/>
  <c r="L959" i="7"/>
  <c r="P958" i="7"/>
  <c r="O958" i="7"/>
  <c r="N958" i="7"/>
  <c r="M958" i="7"/>
  <c r="L958" i="7"/>
  <c r="P957" i="7"/>
  <c r="O957" i="7"/>
  <c r="N957" i="7"/>
  <c r="M957" i="7"/>
  <c r="L957" i="7"/>
  <c r="P956" i="7"/>
  <c r="O956" i="7"/>
  <c r="N956" i="7"/>
  <c r="M956" i="7"/>
  <c r="L956" i="7"/>
  <c r="P955" i="7"/>
  <c r="O955" i="7"/>
  <c r="N955" i="7"/>
  <c r="M955" i="7"/>
  <c r="L955" i="7"/>
  <c r="P954" i="7"/>
  <c r="O954" i="7"/>
  <c r="N954" i="7"/>
  <c r="M954" i="7"/>
  <c r="L954" i="7"/>
  <c r="P953" i="7"/>
  <c r="O953" i="7"/>
  <c r="N953" i="7"/>
  <c r="M953" i="7"/>
  <c r="L953" i="7"/>
  <c r="P952" i="7"/>
  <c r="O952" i="7"/>
  <c r="N952" i="7"/>
  <c r="M952" i="7"/>
  <c r="L952" i="7"/>
  <c r="P951" i="7"/>
  <c r="O951" i="7"/>
  <c r="N951" i="7"/>
  <c r="M951" i="7"/>
  <c r="L951" i="7"/>
  <c r="P950" i="7"/>
  <c r="O950" i="7"/>
  <c r="N950" i="7"/>
  <c r="M950" i="7"/>
  <c r="L950" i="7"/>
  <c r="P949" i="7"/>
  <c r="O949" i="7"/>
  <c r="N949" i="7"/>
  <c r="M949" i="7"/>
  <c r="L949" i="7"/>
  <c r="P948" i="7"/>
  <c r="O948" i="7"/>
  <c r="N948" i="7"/>
  <c r="M948" i="7"/>
  <c r="L948" i="7"/>
  <c r="P947" i="7"/>
  <c r="O947" i="7"/>
  <c r="N947" i="7"/>
  <c r="M947" i="7"/>
  <c r="L947" i="7"/>
  <c r="P946" i="7"/>
  <c r="O946" i="7"/>
  <c r="N946" i="7"/>
  <c r="M946" i="7"/>
  <c r="L946" i="7"/>
  <c r="P945" i="7"/>
  <c r="O945" i="7"/>
  <c r="N945" i="7"/>
  <c r="M945" i="7"/>
  <c r="L945" i="7"/>
  <c r="P944" i="7"/>
  <c r="O944" i="7"/>
  <c r="N944" i="7"/>
  <c r="M944" i="7"/>
  <c r="L944" i="7"/>
  <c r="P943" i="7"/>
  <c r="O943" i="7"/>
  <c r="N943" i="7"/>
  <c r="M943" i="7"/>
  <c r="L943" i="7"/>
  <c r="P942" i="7"/>
  <c r="O942" i="7"/>
  <c r="N942" i="7"/>
  <c r="M942" i="7"/>
  <c r="L942" i="7"/>
  <c r="P941" i="7"/>
  <c r="O941" i="7"/>
  <c r="N941" i="7"/>
  <c r="M941" i="7"/>
  <c r="L941" i="7"/>
  <c r="P940" i="7"/>
  <c r="O940" i="7"/>
  <c r="N940" i="7"/>
  <c r="M940" i="7"/>
  <c r="L940" i="7"/>
  <c r="P939" i="7"/>
  <c r="O939" i="7"/>
  <c r="N939" i="7"/>
  <c r="M939" i="7"/>
  <c r="L939" i="7"/>
  <c r="P938" i="7"/>
  <c r="O938" i="7"/>
  <c r="N938" i="7"/>
  <c r="M938" i="7"/>
  <c r="L938" i="7"/>
  <c r="P937" i="7"/>
  <c r="O937" i="7"/>
  <c r="N937" i="7"/>
  <c r="M937" i="7"/>
  <c r="L937" i="7"/>
  <c r="P936" i="7"/>
  <c r="O936" i="7"/>
  <c r="N936" i="7"/>
  <c r="M936" i="7"/>
  <c r="L936" i="7"/>
  <c r="P935" i="7"/>
  <c r="O935" i="7"/>
  <c r="N935" i="7"/>
  <c r="M935" i="7"/>
  <c r="L935" i="7"/>
  <c r="P934" i="7"/>
  <c r="O934" i="7"/>
  <c r="N934" i="7"/>
  <c r="M934" i="7"/>
  <c r="L934" i="7"/>
  <c r="P933" i="7"/>
  <c r="O933" i="7"/>
  <c r="N933" i="7"/>
  <c r="M933" i="7"/>
  <c r="L933" i="7"/>
  <c r="P932" i="7"/>
  <c r="O932" i="7"/>
  <c r="N932" i="7"/>
  <c r="M932" i="7"/>
  <c r="L932" i="7"/>
  <c r="P931" i="7"/>
  <c r="O931" i="7"/>
  <c r="N931" i="7"/>
  <c r="M931" i="7"/>
  <c r="L931" i="7"/>
  <c r="P930" i="7"/>
  <c r="O930" i="7"/>
  <c r="N930" i="7"/>
  <c r="M930" i="7"/>
  <c r="L930" i="7"/>
  <c r="P929" i="7"/>
  <c r="O929" i="7"/>
  <c r="N929" i="7"/>
  <c r="M929" i="7"/>
  <c r="L929" i="7"/>
  <c r="P928" i="7"/>
  <c r="O928" i="7"/>
  <c r="N928" i="7"/>
  <c r="M928" i="7"/>
  <c r="L928" i="7"/>
  <c r="P927" i="7"/>
  <c r="O927" i="7"/>
  <c r="N927" i="7"/>
  <c r="M927" i="7"/>
  <c r="L927" i="7"/>
  <c r="P926" i="7"/>
  <c r="O926" i="7"/>
  <c r="N926" i="7"/>
  <c r="M926" i="7"/>
  <c r="L926" i="7"/>
  <c r="P925" i="7"/>
  <c r="O925" i="7"/>
  <c r="N925" i="7"/>
  <c r="M925" i="7"/>
  <c r="L925" i="7"/>
  <c r="P924" i="7"/>
  <c r="O924" i="7"/>
  <c r="N924" i="7"/>
  <c r="M924" i="7"/>
  <c r="L924" i="7"/>
  <c r="P923" i="7"/>
  <c r="O923" i="7"/>
  <c r="N923" i="7"/>
  <c r="M923" i="7"/>
  <c r="L923" i="7"/>
  <c r="P922" i="7"/>
  <c r="O922" i="7"/>
  <c r="N922" i="7"/>
  <c r="M922" i="7"/>
  <c r="L922" i="7"/>
  <c r="P921" i="7"/>
  <c r="O921" i="7"/>
  <c r="N921" i="7"/>
  <c r="M921" i="7"/>
  <c r="L921" i="7"/>
  <c r="P920" i="7"/>
  <c r="O920" i="7"/>
  <c r="N920" i="7"/>
  <c r="M920" i="7"/>
  <c r="L920" i="7"/>
  <c r="P919" i="7"/>
  <c r="O919" i="7"/>
  <c r="N919" i="7"/>
  <c r="M919" i="7"/>
  <c r="L919" i="7"/>
  <c r="P918" i="7"/>
  <c r="O918" i="7"/>
  <c r="N918" i="7"/>
  <c r="M918" i="7"/>
  <c r="L918" i="7"/>
  <c r="P917" i="7"/>
  <c r="O917" i="7"/>
  <c r="N917" i="7"/>
  <c r="M917" i="7"/>
  <c r="L917" i="7"/>
  <c r="P916" i="7"/>
  <c r="O916" i="7"/>
  <c r="N916" i="7"/>
  <c r="M916" i="7"/>
  <c r="L916" i="7"/>
  <c r="P915" i="7"/>
  <c r="O915" i="7"/>
  <c r="N915" i="7"/>
  <c r="M915" i="7"/>
  <c r="L915" i="7"/>
  <c r="P914" i="7"/>
  <c r="O914" i="7"/>
  <c r="N914" i="7"/>
  <c r="M914" i="7"/>
  <c r="L914" i="7"/>
  <c r="P913" i="7"/>
  <c r="O913" i="7"/>
  <c r="N913" i="7"/>
  <c r="M913" i="7"/>
  <c r="L913" i="7"/>
  <c r="P912" i="7"/>
  <c r="O912" i="7"/>
  <c r="N912" i="7"/>
  <c r="M912" i="7"/>
  <c r="L912" i="7"/>
  <c r="P911" i="7"/>
  <c r="O911" i="7"/>
  <c r="N911" i="7"/>
  <c r="M911" i="7"/>
  <c r="L911" i="7"/>
  <c r="P910" i="7"/>
  <c r="O910" i="7"/>
  <c r="N910" i="7"/>
  <c r="M910" i="7"/>
  <c r="L910" i="7"/>
  <c r="P909" i="7"/>
  <c r="O909" i="7"/>
  <c r="N909" i="7"/>
  <c r="M909" i="7"/>
  <c r="L909" i="7"/>
  <c r="P908" i="7"/>
  <c r="O908" i="7"/>
  <c r="N908" i="7"/>
  <c r="M908" i="7"/>
  <c r="L908" i="7"/>
  <c r="P907" i="7"/>
  <c r="O907" i="7"/>
  <c r="N907" i="7"/>
  <c r="M907" i="7"/>
  <c r="L907" i="7"/>
  <c r="P906" i="7"/>
  <c r="O906" i="7"/>
  <c r="N906" i="7"/>
  <c r="M906" i="7"/>
  <c r="L906" i="7"/>
  <c r="P905" i="7"/>
  <c r="O905" i="7"/>
  <c r="N905" i="7"/>
  <c r="M905" i="7"/>
  <c r="L905" i="7"/>
  <c r="P904" i="7"/>
  <c r="O904" i="7"/>
  <c r="N904" i="7"/>
  <c r="M904" i="7"/>
  <c r="L904" i="7"/>
  <c r="P903" i="7"/>
  <c r="O903" i="7"/>
  <c r="N903" i="7"/>
  <c r="M903" i="7"/>
  <c r="L903" i="7"/>
  <c r="P902" i="7"/>
  <c r="O902" i="7"/>
  <c r="N902" i="7"/>
  <c r="M902" i="7"/>
  <c r="L902" i="7"/>
  <c r="P901" i="7"/>
  <c r="O901" i="7"/>
  <c r="N901" i="7"/>
  <c r="M901" i="7"/>
  <c r="L901" i="7"/>
  <c r="P900" i="7"/>
  <c r="O900" i="7"/>
  <c r="N900" i="7"/>
  <c r="M900" i="7"/>
  <c r="L900" i="7"/>
  <c r="P899" i="7"/>
  <c r="O899" i="7"/>
  <c r="N899" i="7"/>
  <c r="M899" i="7"/>
  <c r="L899" i="7"/>
  <c r="P898" i="7"/>
  <c r="O898" i="7"/>
  <c r="N898" i="7"/>
  <c r="M898" i="7"/>
  <c r="L898" i="7"/>
  <c r="P897" i="7"/>
  <c r="O897" i="7"/>
  <c r="N897" i="7"/>
  <c r="M897" i="7"/>
  <c r="L897" i="7"/>
  <c r="P896" i="7"/>
  <c r="O896" i="7"/>
  <c r="N896" i="7"/>
  <c r="M896" i="7"/>
  <c r="L896" i="7"/>
  <c r="P895" i="7"/>
  <c r="O895" i="7"/>
  <c r="N895" i="7"/>
  <c r="M895" i="7"/>
  <c r="L895" i="7"/>
  <c r="P894" i="7"/>
  <c r="O894" i="7"/>
  <c r="N894" i="7"/>
  <c r="M894" i="7"/>
  <c r="L894" i="7"/>
  <c r="P893" i="7"/>
  <c r="O893" i="7"/>
  <c r="N893" i="7"/>
  <c r="M893" i="7"/>
  <c r="L893" i="7"/>
  <c r="P892" i="7"/>
  <c r="O892" i="7"/>
  <c r="N892" i="7"/>
  <c r="M892" i="7"/>
  <c r="L892" i="7"/>
  <c r="P891" i="7"/>
  <c r="O891" i="7"/>
  <c r="N891" i="7"/>
  <c r="M891" i="7"/>
  <c r="L891" i="7"/>
  <c r="P890" i="7"/>
  <c r="O890" i="7"/>
  <c r="N890" i="7"/>
  <c r="M890" i="7"/>
  <c r="L890" i="7"/>
  <c r="P889" i="7"/>
  <c r="O889" i="7"/>
  <c r="N889" i="7"/>
  <c r="M889" i="7"/>
  <c r="L889" i="7"/>
  <c r="P888" i="7"/>
  <c r="O888" i="7"/>
  <c r="N888" i="7"/>
  <c r="M888" i="7"/>
  <c r="L888" i="7"/>
  <c r="P887" i="7"/>
  <c r="O887" i="7"/>
  <c r="N887" i="7"/>
  <c r="M887" i="7"/>
  <c r="L887" i="7"/>
  <c r="P886" i="7"/>
  <c r="O886" i="7"/>
  <c r="N886" i="7"/>
  <c r="M886" i="7"/>
  <c r="L886" i="7"/>
  <c r="P885" i="7"/>
  <c r="O885" i="7"/>
  <c r="N885" i="7"/>
  <c r="M885" i="7"/>
  <c r="L885" i="7"/>
  <c r="P884" i="7"/>
  <c r="O884" i="7"/>
  <c r="N884" i="7"/>
  <c r="M884" i="7"/>
  <c r="L884" i="7"/>
  <c r="P883" i="7"/>
  <c r="O883" i="7"/>
  <c r="N883" i="7"/>
  <c r="M883" i="7"/>
  <c r="L883" i="7"/>
  <c r="P882" i="7"/>
  <c r="O882" i="7"/>
  <c r="N882" i="7"/>
  <c r="M882" i="7"/>
  <c r="L882" i="7"/>
  <c r="P881" i="7"/>
  <c r="O881" i="7"/>
  <c r="N881" i="7"/>
  <c r="M881" i="7"/>
  <c r="L881" i="7"/>
  <c r="P880" i="7"/>
  <c r="O880" i="7"/>
  <c r="N880" i="7"/>
  <c r="M880" i="7"/>
  <c r="L880" i="7"/>
  <c r="P879" i="7"/>
  <c r="O879" i="7"/>
  <c r="N879" i="7"/>
  <c r="M879" i="7"/>
  <c r="L879" i="7"/>
  <c r="P878" i="7"/>
  <c r="O878" i="7"/>
  <c r="N878" i="7"/>
  <c r="M878" i="7"/>
  <c r="L878" i="7"/>
  <c r="P877" i="7"/>
  <c r="O877" i="7"/>
  <c r="N877" i="7"/>
  <c r="M877" i="7"/>
  <c r="L877" i="7"/>
  <c r="P876" i="7"/>
  <c r="O876" i="7"/>
  <c r="N876" i="7"/>
  <c r="M876" i="7"/>
  <c r="L876" i="7"/>
  <c r="P875" i="7"/>
  <c r="O875" i="7"/>
  <c r="N875" i="7"/>
  <c r="M875" i="7"/>
  <c r="L875" i="7"/>
  <c r="P874" i="7"/>
  <c r="O874" i="7"/>
  <c r="N874" i="7"/>
  <c r="M874" i="7"/>
  <c r="L874" i="7"/>
  <c r="P873" i="7"/>
  <c r="O873" i="7"/>
  <c r="N873" i="7"/>
  <c r="M873" i="7"/>
  <c r="L873" i="7"/>
  <c r="P872" i="7"/>
  <c r="O872" i="7"/>
  <c r="N872" i="7"/>
  <c r="M872" i="7"/>
  <c r="L872" i="7"/>
  <c r="P871" i="7"/>
  <c r="O871" i="7"/>
  <c r="N871" i="7"/>
  <c r="M871" i="7"/>
  <c r="L871" i="7"/>
  <c r="P870" i="7"/>
  <c r="O870" i="7"/>
  <c r="N870" i="7"/>
  <c r="M870" i="7"/>
  <c r="L870" i="7"/>
  <c r="P869" i="7"/>
  <c r="O869" i="7"/>
  <c r="N869" i="7"/>
  <c r="M869" i="7"/>
  <c r="L869" i="7"/>
  <c r="P868" i="7"/>
  <c r="O868" i="7"/>
  <c r="N868" i="7"/>
  <c r="M868" i="7"/>
  <c r="L868" i="7"/>
  <c r="P867" i="7"/>
  <c r="O867" i="7"/>
  <c r="N867" i="7"/>
  <c r="M867" i="7"/>
  <c r="L867" i="7"/>
  <c r="P866" i="7"/>
  <c r="O866" i="7"/>
  <c r="N866" i="7"/>
  <c r="M866" i="7"/>
  <c r="L866" i="7"/>
  <c r="P865" i="7"/>
  <c r="O865" i="7"/>
  <c r="N865" i="7"/>
  <c r="M865" i="7"/>
  <c r="L865" i="7"/>
  <c r="P864" i="7"/>
  <c r="O864" i="7"/>
  <c r="N864" i="7"/>
  <c r="M864" i="7"/>
  <c r="L864" i="7"/>
  <c r="P863" i="7"/>
  <c r="O863" i="7"/>
  <c r="N863" i="7"/>
  <c r="M863" i="7"/>
  <c r="L863" i="7"/>
  <c r="P862" i="7"/>
  <c r="O862" i="7"/>
  <c r="N862" i="7"/>
  <c r="M862" i="7"/>
  <c r="L862" i="7"/>
  <c r="P861" i="7"/>
  <c r="O861" i="7"/>
  <c r="N861" i="7"/>
  <c r="M861" i="7"/>
  <c r="L861" i="7"/>
  <c r="P860" i="7"/>
  <c r="O860" i="7"/>
  <c r="N860" i="7"/>
  <c r="M860" i="7"/>
  <c r="L860" i="7"/>
  <c r="P859" i="7"/>
  <c r="O859" i="7"/>
  <c r="N859" i="7"/>
  <c r="M859" i="7"/>
  <c r="L859" i="7"/>
  <c r="P858" i="7"/>
  <c r="O858" i="7"/>
  <c r="N858" i="7"/>
  <c r="M858" i="7"/>
  <c r="L858" i="7"/>
  <c r="P857" i="7"/>
  <c r="O857" i="7"/>
  <c r="N857" i="7"/>
  <c r="M857" i="7"/>
  <c r="L857" i="7"/>
  <c r="P856" i="7"/>
  <c r="O856" i="7"/>
  <c r="N856" i="7"/>
  <c r="M856" i="7"/>
  <c r="L856" i="7"/>
  <c r="P855" i="7"/>
  <c r="O855" i="7"/>
  <c r="N855" i="7"/>
  <c r="M855" i="7"/>
  <c r="L855" i="7"/>
  <c r="P854" i="7"/>
  <c r="O854" i="7"/>
  <c r="N854" i="7"/>
  <c r="M854" i="7"/>
  <c r="L854" i="7"/>
  <c r="P853" i="7"/>
  <c r="O853" i="7"/>
  <c r="N853" i="7"/>
  <c r="M853" i="7"/>
  <c r="L853" i="7"/>
  <c r="P852" i="7"/>
  <c r="O852" i="7"/>
  <c r="N852" i="7"/>
  <c r="M852" i="7"/>
  <c r="L852" i="7"/>
  <c r="P851" i="7"/>
  <c r="O851" i="7"/>
  <c r="N851" i="7"/>
  <c r="M851" i="7"/>
  <c r="L851" i="7"/>
  <c r="P850" i="7"/>
  <c r="O850" i="7"/>
  <c r="N850" i="7"/>
  <c r="M850" i="7"/>
  <c r="L850" i="7"/>
  <c r="P849" i="7"/>
  <c r="O849" i="7"/>
  <c r="N849" i="7"/>
  <c r="M849" i="7"/>
  <c r="L849" i="7"/>
  <c r="P848" i="7"/>
  <c r="O848" i="7"/>
  <c r="N848" i="7"/>
  <c r="M848" i="7"/>
  <c r="L848" i="7"/>
  <c r="P847" i="7"/>
  <c r="O847" i="7"/>
  <c r="N847" i="7"/>
  <c r="M847" i="7"/>
  <c r="L847" i="7"/>
  <c r="P846" i="7"/>
  <c r="O846" i="7"/>
  <c r="N846" i="7"/>
  <c r="M846" i="7"/>
  <c r="L846" i="7"/>
  <c r="P845" i="7"/>
  <c r="O845" i="7"/>
  <c r="N845" i="7"/>
  <c r="M845" i="7"/>
  <c r="L845" i="7"/>
  <c r="P844" i="7"/>
  <c r="O844" i="7"/>
  <c r="N844" i="7"/>
  <c r="M844" i="7"/>
  <c r="L844" i="7"/>
  <c r="P843" i="7"/>
  <c r="O843" i="7"/>
  <c r="N843" i="7"/>
  <c r="M843" i="7"/>
  <c r="L843" i="7"/>
  <c r="P842" i="7"/>
  <c r="O842" i="7"/>
  <c r="N842" i="7"/>
  <c r="M842" i="7"/>
  <c r="L842" i="7"/>
  <c r="P841" i="7"/>
  <c r="O841" i="7"/>
  <c r="N841" i="7"/>
  <c r="M841" i="7"/>
  <c r="L841" i="7"/>
  <c r="P840" i="7"/>
  <c r="O840" i="7"/>
  <c r="N840" i="7"/>
  <c r="M840" i="7"/>
  <c r="L840" i="7"/>
  <c r="P839" i="7"/>
  <c r="O839" i="7"/>
  <c r="N839" i="7"/>
  <c r="M839" i="7"/>
  <c r="L839" i="7"/>
  <c r="P838" i="7"/>
  <c r="O838" i="7"/>
  <c r="N838" i="7"/>
  <c r="M838" i="7"/>
  <c r="L838" i="7"/>
  <c r="P837" i="7"/>
  <c r="O837" i="7"/>
  <c r="N837" i="7"/>
  <c r="M837" i="7"/>
  <c r="L837" i="7"/>
  <c r="P836" i="7"/>
  <c r="O836" i="7"/>
  <c r="N836" i="7"/>
  <c r="M836" i="7"/>
  <c r="L836" i="7"/>
  <c r="P835" i="7"/>
  <c r="O835" i="7"/>
  <c r="N835" i="7"/>
  <c r="M835" i="7"/>
  <c r="L835" i="7"/>
  <c r="P834" i="7"/>
  <c r="O834" i="7"/>
  <c r="N834" i="7"/>
  <c r="M834" i="7"/>
  <c r="L834" i="7"/>
  <c r="P833" i="7"/>
  <c r="O833" i="7"/>
  <c r="N833" i="7"/>
  <c r="M833" i="7"/>
  <c r="L833" i="7"/>
  <c r="P832" i="7"/>
  <c r="O832" i="7"/>
  <c r="N832" i="7"/>
  <c r="M832" i="7"/>
  <c r="L832" i="7"/>
  <c r="P831" i="7"/>
  <c r="O831" i="7"/>
  <c r="N831" i="7"/>
  <c r="M831" i="7"/>
  <c r="L831" i="7"/>
  <c r="P830" i="7"/>
  <c r="O830" i="7"/>
  <c r="N830" i="7"/>
  <c r="M830" i="7"/>
  <c r="L830" i="7"/>
  <c r="P829" i="7"/>
  <c r="O829" i="7"/>
  <c r="N829" i="7"/>
  <c r="M829" i="7"/>
  <c r="L829" i="7"/>
  <c r="P828" i="7"/>
  <c r="O828" i="7"/>
  <c r="N828" i="7"/>
  <c r="M828" i="7"/>
  <c r="L828" i="7"/>
  <c r="P827" i="7"/>
  <c r="O827" i="7"/>
  <c r="N827" i="7"/>
  <c r="M827" i="7"/>
  <c r="L827" i="7"/>
  <c r="P826" i="7"/>
  <c r="O826" i="7"/>
  <c r="N826" i="7"/>
  <c r="M826" i="7"/>
  <c r="L826" i="7"/>
  <c r="P825" i="7"/>
  <c r="O825" i="7"/>
  <c r="N825" i="7"/>
  <c r="M825" i="7"/>
  <c r="L825" i="7"/>
  <c r="P824" i="7"/>
  <c r="O824" i="7"/>
  <c r="N824" i="7"/>
  <c r="M824" i="7"/>
  <c r="L824" i="7"/>
  <c r="P823" i="7"/>
  <c r="O823" i="7"/>
  <c r="N823" i="7"/>
  <c r="M823" i="7"/>
  <c r="L823" i="7"/>
  <c r="P822" i="7"/>
  <c r="O822" i="7"/>
  <c r="N822" i="7"/>
  <c r="M822" i="7"/>
  <c r="L822" i="7"/>
  <c r="P821" i="7"/>
  <c r="O821" i="7"/>
  <c r="N821" i="7"/>
  <c r="M821" i="7"/>
  <c r="L821" i="7"/>
  <c r="P820" i="7"/>
  <c r="O820" i="7"/>
  <c r="N820" i="7"/>
  <c r="M820" i="7"/>
  <c r="L820" i="7"/>
  <c r="P819" i="7"/>
  <c r="O819" i="7"/>
  <c r="N819" i="7"/>
  <c r="M819" i="7"/>
  <c r="L819" i="7"/>
  <c r="P818" i="7"/>
  <c r="O818" i="7"/>
  <c r="N818" i="7"/>
  <c r="M818" i="7"/>
  <c r="L818" i="7"/>
  <c r="P817" i="7"/>
  <c r="O817" i="7"/>
  <c r="N817" i="7"/>
  <c r="M817" i="7"/>
  <c r="L817" i="7"/>
  <c r="P816" i="7"/>
  <c r="O816" i="7"/>
  <c r="N816" i="7"/>
  <c r="M816" i="7"/>
  <c r="L816" i="7"/>
  <c r="P815" i="7"/>
  <c r="O815" i="7"/>
  <c r="N815" i="7"/>
  <c r="M815" i="7"/>
  <c r="L815" i="7"/>
  <c r="P814" i="7"/>
  <c r="O814" i="7"/>
  <c r="N814" i="7"/>
  <c r="M814" i="7"/>
  <c r="L814" i="7"/>
  <c r="P813" i="7"/>
  <c r="O813" i="7"/>
  <c r="N813" i="7"/>
  <c r="M813" i="7"/>
  <c r="L813" i="7"/>
  <c r="P812" i="7"/>
  <c r="O812" i="7"/>
  <c r="N812" i="7"/>
  <c r="M812" i="7"/>
  <c r="L812" i="7"/>
  <c r="P811" i="7"/>
  <c r="O811" i="7"/>
  <c r="N811" i="7"/>
  <c r="M811" i="7"/>
  <c r="L811" i="7"/>
  <c r="P810" i="7"/>
  <c r="O810" i="7"/>
  <c r="N810" i="7"/>
  <c r="M810" i="7"/>
  <c r="L810" i="7"/>
  <c r="P809" i="7"/>
  <c r="O809" i="7"/>
  <c r="N809" i="7"/>
  <c r="M809" i="7"/>
  <c r="L809" i="7"/>
  <c r="P808" i="7"/>
  <c r="O808" i="7"/>
  <c r="N808" i="7"/>
  <c r="M808" i="7"/>
  <c r="L808" i="7"/>
  <c r="P807" i="7"/>
  <c r="O807" i="7"/>
  <c r="N807" i="7"/>
  <c r="M807" i="7"/>
  <c r="L807" i="7"/>
  <c r="P806" i="7"/>
  <c r="O806" i="7"/>
  <c r="N806" i="7"/>
  <c r="M806" i="7"/>
  <c r="L806" i="7"/>
  <c r="P805" i="7"/>
  <c r="O805" i="7"/>
  <c r="N805" i="7"/>
  <c r="M805" i="7"/>
  <c r="L805" i="7"/>
  <c r="P804" i="7"/>
  <c r="O804" i="7"/>
  <c r="N804" i="7"/>
  <c r="M804" i="7"/>
  <c r="L804" i="7"/>
  <c r="P803" i="7"/>
  <c r="O803" i="7"/>
  <c r="N803" i="7"/>
  <c r="M803" i="7"/>
  <c r="L803" i="7"/>
  <c r="P802" i="7"/>
  <c r="O802" i="7"/>
  <c r="N802" i="7"/>
  <c r="M802" i="7"/>
  <c r="L802" i="7"/>
  <c r="P801" i="7"/>
  <c r="O801" i="7"/>
  <c r="N801" i="7"/>
  <c r="M801" i="7"/>
  <c r="L801" i="7"/>
  <c r="P800" i="7"/>
  <c r="O800" i="7"/>
  <c r="N800" i="7"/>
  <c r="M800" i="7"/>
  <c r="L800" i="7"/>
  <c r="P799" i="7"/>
  <c r="O799" i="7"/>
  <c r="N799" i="7"/>
  <c r="M799" i="7"/>
  <c r="L799" i="7"/>
  <c r="P798" i="7"/>
  <c r="O798" i="7"/>
  <c r="N798" i="7"/>
  <c r="M798" i="7"/>
  <c r="L798" i="7"/>
  <c r="P797" i="7"/>
  <c r="O797" i="7"/>
  <c r="N797" i="7"/>
  <c r="M797" i="7"/>
  <c r="L797" i="7"/>
  <c r="P796" i="7"/>
  <c r="O796" i="7"/>
  <c r="N796" i="7"/>
  <c r="M796" i="7"/>
  <c r="L796" i="7"/>
  <c r="P795" i="7"/>
  <c r="O795" i="7"/>
  <c r="N795" i="7"/>
  <c r="M795" i="7"/>
  <c r="L795" i="7"/>
  <c r="P794" i="7"/>
  <c r="O794" i="7"/>
  <c r="N794" i="7"/>
  <c r="M794" i="7"/>
  <c r="L794" i="7"/>
  <c r="P793" i="7"/>
  <c r="O793" i="7"/>
  <c r="N793" i="7"/>
  <c r="M793" i="7"/>
  <c r="L793" i="7"/>
  <c r="P792" i="7"/>
  <c r="O792" i="7"/>
  <c r="N792" i="7"/>
  <c r="M792" i="7"/>
  <c r="L792" i="7"/>
  <c r="P791" i="7"/>
  <c r="O791" i="7"/>
  <c r="N791" i="7"/>
  <c r="M791" i="7"/>
  <c r="L791" i="7"/>
  <c r="P790" i="7"/>
  <c r="O790" i="7"/>
  <c r="N790" i="7"/>
  <c r="M790" i="7"/>
  <c r="L790" i="7"/>
  <c r="P789" i="7"/>
  <c r="O789" i="7"/>
  <c r="N789" i="7"/>
  <c r="M789" i="7"/>
  <c r="L789" i="7"/>
  <c r="P788" i="7"/>
  <c r="O788" i="7"/>
  <c r="N788" i="7"/>
  <c r="M788" i="7"/>
  <c r="L788" i="7"/>
  <c r="P787" i="7"/>
  <c r="O787" i="7"/>
  <c r="N787" i="7"/>
  <c r="M787" i="7"/>
  <c r="L787" i="7"/>
  <c r="P786" i="7"/>
  <c r="O786" i="7"/>
  <c r="N786" i="7"/>
  <c r="M786" i="7"/>
  <c r="L786" i="7"/>
  <c r="P785" i="7"/>
  <c r="O785" i="7"/>
  <c r="N785" i="7"/>
  <c r="M785" i="7"/>
  <c r="L785" i="7"/>
  <c r="P784" i="7"/>
  <c r="O784" i="7"/>
  <c r="N784" i="7"/>
  <c r="M784" i="7"/>
  <c r="L784" i="7"/>
  <c r="P783" i="7"/>
  <c r="O783" i="7"/>
  <c r="N783" i="7"/>
  <c r="M783" i="7"/>
  <c r="L783" i="7"/>
  <c r="P782" i="7"/>
  <c r="O782" i="7"/>
  <c r="N782" i="7"/>
  <c r="M782" i="7"/>
  <c r="L782" i="7"/>
  <c r="P781" i="7"/>
  <c r="O781" i="7"/>
  <c r="N781" i="7"/>
  <c r="M781" i="7"/>
  <c r="L781" i="7"/>
  <c r="P780" i="7"/>
  <c r="O780" i="7"/>
  <c r="N780" i="7"/>
  <c r="M780" i="7"/>
  <c r="L780" i="7"/>
  <c r="P779" i="7"/>
  <c r="O779" i="7"/>
  <c r="N779" i="7"/>
  <c r="M779" i="7"/>
  <c r="L779" i="7"/>
  <c r="P778" i="7"/>
  <c r="O778" i="7"/>
  <c r="N778" i="7"/>
  <c r="M778" i="7"/>
  <c r="L778" i="7"/>
  <c r="P777" i="7"/>
  <c r="O777" i="7"/>
  <c r="N777" i="7"/>
  <c r="M777" i="7"/>
  <c r="L777" i="7"/>
  <c r="P776" i="7"/>
  <c r="O776" i="7"/>
  <c r="N776" i="7"/>
  <c r="M776" i="7"/>
  <c r="L776" i="7"/>
  <c r="P775" i="7"/>
  <c r="O775" i="7"/>
  <c r="N775" i="7"/>
  <c r="M775" i="7"/>
  <c r="L775" i="7"/>
  <c r="P774" i="7"/>
  <c r="O774" i="7"/>
  <c r="N774" i="7"/>
  <c r="M774" i="7"/>
  <c r="L774" i="7"/>
  <c r="P773" i="7"/>
  <c r="O773" i="7"/>
  <c r="N773" i="7"/>
  <c r="M773" i="7"/>
  <c r="L773" i="7"/>
  <c r="P772" i="7"/>
  <c r="O772" i="7"/>
  <c r="N772" i="7"/>
  <c r="M772" i="7"/>
  <c r="L772" i="7"/>
  <c r="P771" i="7"/>
  <c r="O771" i="7"/>
  <c r="N771" i="7"/>
  <c r="M771" i="7"/>
  <c r="L771" i="7"/>
  <c r="P770" i="7"/>
  <c r="O770" i="7"/>
  <c r="N770" i="7"/>
  <c r="M770" i="7"/>
  <c r="L770" i="7"/>
  <c r="P769" i="7"/>
  <c r="O769" i="7"/>
  <c r="N769" i="7"/>
  <c r="M769" i="7"/>
  <c r="L769" i="7"/>
  <c r="P768" i="7"/>
  <c r="O768" i="7"/>
  <c r="N768" i="7"/>
  <c r="M768" i="7"/>
  <c r="L768" i="7"/>
  <c r="P767" i="7"/>
  <c r="O767" i="7"/>
  <c r="N767" i="7"/>
  <c r="M767" i="7"/>
  <c r="L767" i="7"/>
  <c r="P766" i="7"/>
  <c r="O766" i="7"/>
  <c r="N766" i="7"/>
  <c r="M766" i="7"/>
  <c r="L766" i="7"/>
  <c r="P765" i="7"/>
  <c r="O765" i="7"/>
  <c r="N765" i="7"/>
  <c r="M765" i="7"/>
  <c r="L765" i="7"/>
  <c r="P764" i="7"/>
  <c r="O764" i="7"/>
  <c r="N764" i="7"/>
  <c r="M764" i="7"/>
  <c r="L764" i="7"/>
  <c r="P763" i="7"/>
  <c r="O763" i="7"/>
  <c r="N763" i="7"/>
  <c r="M763" i="7"/>
  <c r="L763" i="7"/>
  <c r="P762" i="7"/>
  <c r="O762" i="7"/>
  <c r="N762" i="7"/>
  <c r="M762" i="7"/>
  <c r="L762" i="7"/>
  <c r="P761" i="7"/>
  <c r="O761" i="7"/>
  <c r="N761" i="7"/>
  <c r="M761" i="7"/>
  <c r="L761" i="7"/>
  <c r="P760" i="7"/>
  <c r="O760" i="7"/>
  <c r="N760" i="7"/>
  <c r="M760" i="7"/>
  <c r="L760" i="7"/>
  <c r="P759" i="7"/>
  <c r="O759" i="7"/>
  <c r="N759" i="7"/>
  <c r="M759" i="7"/>
  <c r="L759" i="7"/>
  <c r="P758" i="7"/>
  <c r="O758" i="7"/>
  <c r="N758" i="7"/>
  <c r="M758" i="7"/>
  <c r="L758" i="7"/>
  <c r="P757" i="7"/>
  <c r="O757" i="7"/>
  <c r="N757" i="7"/>
  <c r="M757" i="7"/>
  <c r="L757" i="7"/>
  <c r="P756" i="7"/>
  <c r="O756" i="7"/>
  <c r="N756" i="7"/>
  <c r="M756" i="7"/>
  <c r="L756" i="7"/>
  <c r="P755" i="7"/>
  <c r="O755" i="7"/>
  <c r="N755" i="7"/>
  <c r="M755" i="7"/>
  <c r="L755" i="7"/>
  <c r="P754" i="7"/>
  <c r="O754" i="7"/>
  <c r="N754" i="7"/>
  <c r="M754" i="7"/>
  <c r="L754" i="7"/>
  <c r="P753" i="7"/>
  <c r="O753" i="7"/>
  <c r="N753" i="7"/>
  <c r="M753" i="7"/>
  <c r="L753" i="7"/>
  <c r="P752" i="7"/>
  <c r="O752" i="7"/>
  <c r="N752" i="7"/>
  <c r="M752" i="7"/>
  <c r="L752" i="7"/>
  <c r="P751" i="7"/>
  <c r="O751" i="7"/>
  <c r="N751" i="7"/>
  <c r="M751" i="7"/>
  <c r="L751" i="7"/>
  <c r="P750" i="7"/>
  <c r="O750" i="7"/>
  <c r="N750" i="7"/>
  <c r="M750" i="7"/>
  <c r="L750" i="7"/>
  <c r="P749" i="7"/>
  <c r="O749" i="7"/>
  <c r="N749" i="7"/>
  <c r="M749" i="7"/>
  <c r="L749" i="7"/>
  <c r="P748" i="7"/>
  <c r="O748" i="7"/>
  <c r="N748" i="7"/>
  <c r="M748" i="7"/>
  <c r="L748" i="7"/>
  <c r="P747" i="7"/>
  <c r="O747" i="7"/>
  <c r="N747" i="7"/>
  <c r="M747" i="7"/>
  <c r="L747" i="7"/>
  <c r="P746" i="7"/>
  <c r="O746" i="7"/>
  <c r="N746" i="7"/>
  <c r="M746" i="7"/>
  <c r="L746" i="7"/>
  <c r="P745" i="7"/>
  <c r="O745" i="7"/>
  <c r="N745" i="7"/>
  <c r="M745" i="7"/>
  <c r="L745" i="7"/>
  <c r="P744" i="7"/>
  <c r="O744" i="7"/>
  <c r="N744" i="7"/>
  <c r="M744" i="7"/>
  <c r="L744" i="7"/>
  <c r="P743" i="7"/>
  <c r="O743" i="7"/>
  <c r="N743" i="7"/>
  <c r="M743" i="7"/>
  <c r="L743" i="7"/>
  <c r="P742" i="7"/>
  <c r="O742" i="7"/>
  <c r="N742" i="7"/>
  <c r="M742" i="7"/>
  <c r="L742" i="7"/>
  <c r="P741" i="7"/>
  <c r="O741" i="7"/>
  <c r="N741" i="7"/>
  <c r="M741" i="7"/>
  <c r="L741" i="7"/>
  <c r="P740" i="7"/>
  <c r="O740" i="7"/>
  <c r="N740" i="7"/>
  <c r="M740" i="7"/>
  <c r="L740" i="7"/>
  <c r="P739" i="7"/>
  <c r="O739" i="7"/>
  <c r="N739" i="7"/>
  <c r="M739" i="7"/>
  <c r="L739" i="7"/>
  <c r="P738" i="7"/>
  <c r="O738" i="7"/>
  <c r="N738" i="7"/>
  <c r="M738" i="7"/>
  <c r="L738" i="7"/>
  <c r="P737" i="7"/>
  <c r="O737" i="7"/>
  <c r="N737" i="7"/>
  <c r="M737" i="7"/>
  <c r="L737" i="7"/>
  <c r="P736" i="7"/>
  <c r="O736" i="7"/>
  <c r="N736" i="7"/>
  <c r="M736" i="7"/>
  <c r="L736" i="7"/>
  <c r="P735" i="7"/>
  <c r="O735" i="7"/>
  <c r="N735" i="7"/>
  <c r="M735" i="7"/>
  <c r="L735" i="7"/>
  <c r="P734" i="7"/>
  <c r="O734" i="7"/>
  <c r="N734" i="7"/>
  <c r="M734" i="7"/>
  <c r="L734" i="7"/>
  <c r="P733" i="7"/>
  <c r="O733" i="7"/>
  <c r="N733" i="7"/>
  <c r="M733" i="7"/>
  <c r="L733" i="7"/>
  <c r="P732" i="7"/>
  <c r="O732" i="7"/>
  <c r="N732" i="7"/>
  <c r="M732" i="7"/>
  <c r="L732" i="7"/>
  <c r="P731" i="7"/>
  <c r="O731" i="7"/>
  <c r="N731" i="7"/>
  <c r="M731" i="7"/>
  <c r="L731" i="7"/>
  <c r="P730" i="7"/>
  <c r="O730" i="7"/>
  <c r="N730" i="7"/>
  <c r="M730" i="7"/>
  <c r="L730" i="7"/>
  <c r="P729" i="7"/>
  <c r="O729" i="7"/>
  <c r="N729" i="7"/>
  <c r="M729" i="7"/>
  <c r="L729" i="7"/>
  <c r="P728" i="7"/>
  <c r="O728" i="7"/>
  <c r="N728" i="7"/>
  <c r="M728" i="7"/>
  <c r="L728" i="7"/>
  <c r="P727" i="7"/>
  <c r="O727" i="7"/>
  <c r="N727" i="7"/>
  <c r="M727" i="7"/>
  <c r="L727" i="7"/>
  <c r="P726" i="7"/>
  <c r="O726" i="7"/>
  <c r="N726" i="7"/>
  <c r="M726" i="7"/>
  <c r="L726" i="7"/>
  <c r="P725" i="7"/>
  <c r="O725" i="7"/>
  <c r="N725" i="7"/>
  <c r="M725" i="7"/>
  <c r="L725" i="7"/>
  <c r="P724" i="7"/>
  <c r="O724" i="7"/>
  <c r="N724" i="7"/>
  <c r="M724" i="7"/>
  <c r="L724" i="7"/>
  <c r="P723" i="7"/>
  <c r="O723" i="7"/>
  <c r="N723" i="7"/>
  <c r="M723" i="7"/>
  <c r="L723" i="7"/>
  <c r="P722" i="7"/>
  <c r="O722" i="7"/>
  <c r="N722" i="7"/>
  <c r="M722" i="7"/>
  <c r="L722" i="7"/>
  <c r="P721" i="7"/>
  <c r="O721" i="7"/>
  <c r="N721" i="7"/>
  <c r="M721" i="7"/>
  <c r="L721" i="7"/>
  <c r="P720" i="7"/>
  <c r="O720" i="7"/>
  <c r="N720" i="7"/>
  <c r="M720" i="7"/>
  <c r="L720" i="7"/>
  <c r="P719" i="7"/>
  <c r="O719" i="7"/>
  <c r="N719" i="7"/>
  <c r="M719" i="7"/>
  <c r="L719" i="7"/>
  <c r="P718" i="7"/>
  <c r="O718" i="7"/>
  <c r="N718" i="7"/>
  <c r="M718" i="7"/>
  <c r="L718" i="7"/>
  <c r="P717" i="7"/>
  <c r="O717" i="7"/>
  <c r="N717" i="7"/>
  <c r="M717" i="7"/>
  <c r="L717" i="7"/>
  <c r="P716" i="7"/>
  <c r="O716" i="7"/>
  <c r="N716" i="7"/>
  <c r="M716" i="7"/>
  <c r="L716" i="7"/>
  <c r="P715" i="7"/>
  <c r="O715" i="7"/>
  <c r="N715" i="7"/>
  <c r="M715" i="7"/>
  <c r="L715" i="7"/>
  <c r="P714" i="7"/>
  <c r="O714" i="7"/>
  <c r="N714" i="7"/>
  <c r="M714" i="7"/>
  <c r="L714" i="7"/>
  <c r="P713" i="7"/>
  <c r="O713" i="7"/>
  <c r="N713" i="7"/>
  <c r="M713" i="7"/>
  <c r="L713" i="7"/>
  <c r="P712" i="7"/>
  <c r="O712" i="7"/>
  <c r="N712" i="7"/>
  <c r="M712" i="7"/>
  <c r="L712" i="7"/>
  <c r="P711" i="7"/>
  <c r="O711" i="7"/>
  <c r="N711" i="7"/>
  <c r="M711" i="7"/>
  <c r="L711" i="7"/>
  <c r="P710" i="7"/>
  <c r="O710" i="7"/>
  <c r="N710" i="7"/>
  <c r="M710" i="7"/>
  <c r="L710" i="7"/>
  <c r="P709" i="7"/>
  <c r="O709" i="7"/>
  <c r="N709" i="7"/>
  <c r="M709" i="7"/>
  <c r="L709" i="7"/>
  <c r="P708" i="7"/>
  <c r="O708" i="7"/>
  <c r="N708" i="7"/>
  <c r="M708" i="7"/>
  <c r="L708" i="7"/>
  <c r="P707" i="7"/>
  <c r="O707" i="7"/>
  <c r="N707" i="7"/>
  <c r="M707" i="7"/>
  <c r="L707" i="7"/>
  <c r="P706" i="7"/>
  <c r="O706" i="7"/>
  <c r="N706" i="7"/>
  <c r="M706" i="7"/>
  <c r="L706" i="7"/>
  <c r="P705" i="7"/>
  <c r="O705" i="7"/>
  <c r="N705" i="7"/>
  <c r="M705" i="7"/>
  <c r="L705" i="7"/>
  <c r="P704" i="7"/>
  <c r="O704" i="7"/>
  <c r="N704" i="7"/>
  <c r="M704" i="7"/>
  <c r="L704" i="7"/>
  <c r="P703" i="7"/>
  <c r="O703" i="7"/>
  <c r="N703" i="7"/>
  <c r="M703" i="7"/>
  <c r="L703" i="7"/>
  <c r="P702" i="7"/>
  <c r="O702" i="7"/>
  <c r="N702" i="7"/>
  <c r="M702" i="7"/>
  <c r="L702" i="7"/>
  <c r="P701" i="7"/>
  <c r="O701" i="7"/>
  <c r="N701" i="7"/>
  <c r="M701" i="7"/>
  <c r="L701" i="7"/>
  <c r="P700" i="7"/>
  <c r="O700" i="7"/>
  <c r="N700" i="7"/>
  <c r="M700" i="7"/>
  <c r="L700" i="7"/>
  <c r="P699" i="7"/>
  <c r="O699" i="7"/>
  <c r="N699" i="7"/>
  <c r="M699" i="7"/>
  <c r="L699" i="7"/>
  <c r="P698" i="7"/>
  <c r="O698" i="7"/>
  <c r="N698" i="7"/>
  <c r="M698" i="7"/>
  <c r="L698" i="7"/>
  <c r="P697" i="7"/>
  <c r="O697" i="7"/>
  <c r="N697" i="7"/>
  <c r="M697" i="7"/>
  <c r="L697" i="7"/>
  <c r="P696" i="7"/>
  <c r="O696" i="7"/>
  <c r="N696" i="7"/>
  <c r="M696" i="7"/>
  <c r="L696" i="7"/>
  <c r="P695" i="7"/>
  <c r="O695" i="7"/>
  <c r="N695" i="7"/>
  <c r="M695" i="7"/>
  <c r="L695" i="7"/>
  <c r="P694" i="7"/>
  <c r="O694" i="7"/>
  <c r="N694" i="7"/>
  <c r="M694" i="7"/>
  <c r="L694" i="7"/>
  <c r="P693" i="7"/>
  <c r="O693" i="7"/>
  <c r="N693" i="7"/>
  <c r="M693" i="7"/>
  <c r="L693" i="7"/>
  <c r="P692" i="7"/>
  <c r="O692" i="7"/>
  <c r="N692" i="7"/>
  <c r="M692" i="7"/>
  <c r="L692" i="7"/>
  <c r="P691" i="7"/>
  <c r="O691" i="7"/>
  <c r="N691" i="7"/>
  <c r="M691" i="7"/>
  <c r="L691" i="7"/>
  <c r="P690" i="7"/>
  <c r="O690" i="7"/>
  <c r="N690" i="7"/>
  <c r="M690" i="7"/>
  <c r="L690" i="7"/>
  <c r="P689" i="7"/>
  <c r="O689" i="7"/>
  <c r="N689" i="7"/>
  <c r="M689" i="7"/>
  <c r="L689" i="7"/>
  <c r="P688" i="7"/>
  <c r="O688" i="7"/>
  <c r="N688" i="7"/>
  <c r="M688" i="7"/>
  <c r="L688" i="7"/>
  <c r="P687" i="7"/>
  <c r="O687" i="7"/>
  <c r="N687" i="7"/>
  <c r="M687" i="7"/>
  <c r="L687" i="7"/>
  <c r="P686" i="7"/>
  <c r="O686" i="7"/>
  <c r="N686" i="7"/>
  <c r="M686" i="7"/>
  <c r="L686" i="7"/>
  <c r="P685" i="7"/>
  <c r="O685" i="7"/>
  <c r="N685" i="7"/>
  <c r="M685" i="7"/>
  <c r="L685" i="7"/>
  <c r="P684" i="7"/>
  <c r="O684" i="7"/>
  <c r="N684" i="7"/>
  <c r="M684" i="7"/>
  <c r="L684" i="7"/>
  <c r="P683" i="7"/>
  <c r="O683" i="7"/>
  <c r="N683" i="7"/>
  <c r="M683" i="7"/>
  <c r="L683" i="7"/>
  <c r="P682" i="7"/>
  <c r="O682" i="7"/>
  <c r="N682" i="7"/>
  <c r="M682" i="7"/>
  <c r="L682" i="7"/>
  <c r="P681" i="7"/>
  <c r="O681" i="7"/>
  <c r="N681" i="7"/>
  <c r="M681" i="7"/>
  <c r="L681" i="7"/>
  <c r="P680" i="7"/>
  <c r="O680" i="7"/>
  <c r="N680" i="7"/>
  <c r="M680" i="7"/>
  <c r="L680" i="7"/>
  <c r="P679" i="7"/>
  <c r="O679" i="7"/>
  <c r="N679" i="7"/>
  <c r="M679" i="7"/>
  <c r="L679" i="7"/>
  <c r="P678" i="7"/>
  <c r="O678" i="7"/>
  <c r="N678" i="7"/>
  <c r="M678" i="7"/>
  <c r="L678" i="7"/>
  <c r="P677" i="7"/>
  <c r="O677" i="7"/>
  <c r="N677" i="7"/>
  <c r="M677" i="7"/>
  <c r="L677" i="7"/>
  <c r="P676" i="7"/>
  <c r="O676" i="7"/>
  <c r="N676" i="7"/>
  <c r="M676" i="7"/>
  <c r="L676" i="7"/>
  <c r="P675" i="7"/>
  <c r="O675" i="7"/>
  <c r="N675" i="7"/>
  <c r="M675" i="7"/>
  <c r="L675" i="7"/>
  <c r="P674" i="7"/>
  <c r="O674" i="7"/>
  <c r="N674" i="7"/>
  <c r="M674" i="7"/>
  <c r="L674" i="7"/>
  <c r="P673" i="7"/>
  <c r="O673" i="7"/>
  <c r="N673" i="7"/>
  <c r="M673" i="7"/>
  <c r="L673" i="7"/>
  <c r="P672" i="7"/>
  <c r="O672" i="7"/>
  <c r="N672" i="7"/>
  <c r="M672" i="7"/>
  <c r="L672" i="7"/>
  <c r="P671" i="7"/>
  <c r="O671" i="7"/>
  <c r="N671" i="7"/>
  <c r="M671" i="7"/>
  <c r="L671" i="7"/>
  <c r="P670" i="7"/>
  <c r="O670" i="7"/>
  <c r="N670" i="7"/>
  <c r="M670" i="7"/>
  <c r="L670" i="7"/>
  <c r="P669" i="7"/>
  <c r="O669" i="7"/>
  <c r="N669" i="7"/>
  <c r="M669" i="7"/>
  <c r="L669" i="7"/>
  <c r="P668" i="7"/>
  <c r="O668" i="7"/>
  <c r="N668" i="7"/>
  <c r="M668" i="7"/>
  <c r="L668" i="7"/>
  <c r="P667" i="7"/>
  <c r="O667" i="7"/>
  <c r="N667" i="7"/>
  <c r="M667" i="7"/>
  <c r="L667" i="7"/>
  <c r="P666" i="7"/>
  <c r="O666" i="7"/>
  <c r="N666" i="7"/>
  <c r="M666" i="7"/>
  <c r="L666" i="7"/>
  <c r="P665" i="7"/>
  <c r="O665" i="7"/>
  <c r="N665" i="7"/>
  <c r="M665" i="7"/>
  <c r="L665" i="7"/>
  <c r="P664" i="7"/>
  <c r="O664" i="7"/>
  <c r="N664" i="7"/>
  <c r="M664" i="7"/>
  <c r="L664" i="7"/>
  <c r="P663" i="7"/>
  <c r="O663" i="7"/>
  <c r="N663" i="7"/>
  <c r="M663" i="7"/>
  <c r="L663" i="7"/>
  <c r="P662" i="7"/>
  <c r="O662" i="7"/>
  <c r="N662" i="7"/>
  <c r="M662" i="7"/>
  <c r="L662" i="7"/>
  <c r="P661" i="7"/>
  <c r="O661" i="7"/>
  <c r="N661" i="7"/>
  <c r="M661" i="7"/>
  <c r="L661" i="7"/>
  <c r="P660" i="7"/>
  <c r="O660" i="7"/>
  <c r="N660" i="7"/>
  <c r="M660" i="7"/>
  <c r="L660" i="7"/>
  <c r="P659" i="7"/>
  <c r="O659" i="7"/>
  <c r="N659" i="7"/>
  <c r="M659" i="7"/>
  <c r="L659" i="7"/>
  <c r="P658" i="7"/>
  <c r="O658" i="7"/>
  <c r="N658" i="7"/>
  <c r="M658" i="7"/>
  <c r="L658" i="7"/>
  <c r="P657" i="7"/>
  <c r="O657" i="7"/>
  <c r="N657" i="7"/>
  <c r="M657" i="7"/>
  <c r="L657" i="7"/>
  <c r="P656" i="7"/>
  <c r="O656" i="7"/>
  <c r="N656" i="7"/>
  <c r="M656" i="7"/>
  <c r="L656" i="7"/>
  <c r="P655" i="7"/>
  <c r="O655" i="7"/>
  <c r="N655" i="7"/>
  <c r="M655" i="7"/>
  <c r="L655" i="7"/>
  <c r="P654" i="7"/>
  <c r="O654" i="7"/>
  <c r="N654" i="7"/>
  <c r="M654" i="7"/>
  <c r="L654" i="7"/>
  <c r="P653" i="7"/>
  <c r="O653" i="7"/>
  <c r="N653" i="7"/>
  <c r="M653" i="7"/>
  <c r="L653" i="7"/>
  <c r="P652" i="7"/>
  <c r="O652" i="7"/>
  <c r="N652" i="7"/>
  <c r="M652" i="7"/>
  <c r="L652" i="7"/>
  <c r="P651" i="7"/>
  <c r="O651" i="7"/>
  <c r="N651" i="7"/>
  <c r="M651" i="7"/>
  <c r="L651" i="7"/>
  <c r="P650" i="7"/>
  <c r="O650" i="7"/>
  <c r="N650" i="7"/>
  <c r="M650" i="7"/>
  <c r="L650" i="7"/>
  <c r="P649" i="7"/>
  <c r="O649" i="7"/>
  <c r="N649" i="7"/>
  <c r="M649" i="7"/>
  <c r="L649" i="7"/>
  <c r="P648" i="7"/>
  <c r="O648" i="7"/>
  <c r="N648" i="7"/>
  <c r="M648" i="7"/>
  <c r="L648" i="7"/>
  <c r="P647" i="7"/>
  <c r="O647" i="7"/>
  <c r="N647" i="7"/>
  <c r="M647" i="7"/>
  <c r="L647" i="7"/>
  <c r="P646" i="7"/>
  <c r="O646" i="7"/>
  <c r="N646" i="7"/>
  <c r="M646" i="7"/>
  <c r="L646" i="7"/>
  <c r="P645" i="7"/>
  <c r="O645" i="7"/>
  <c r="N645" i="7"/>
  <c r="M645" i="7"/>
  <c r="L645" i="7"/>
  <c r="P644" i="7"/>
  <c r="O644" i="7"/>
  <c r="N644" i="7"/>
  <c r="M644" i="7"/>
  <c r="L644" i="7"/>
  <c r="P643" i="7"/>
  <c r="O643" i="7"/>
  <c r="N643" i="7"/>
  <c r="M643" i="7"/>
  <c r="L643" i="7"/>
  <c r="P642" i="7"/>
  <c r="O642" i="7"/>
  <c r="N642" i="7"/>
  <c r="M642" i="7"/>
  <c r="L642" i="7"/>
  <c r="P641" i="7"/>
  <c r="O641" i="7"/>
  <c r="N641" i="7"/>
  <c r="M641" i="7"/>
  <c r="L641" i="7"/>
  <c r="P640" i="7"/>
  <c r="O640" i="7"/>
  <c r="N640" i="7"/>
  <c r="M640" i="7"/>
  <c r="L640" i="7"/>
  <c r="P639" i="7"/>
  <c r="O639" i="7"/>
  <c r="N639" i="7"/>
  <c r="M639" i="7"/>
  <c r="L639" i="7"/>
  <c r="P638" i="7"/>
  <c r="O638" i="7"/>
  <c r="N638" i="7"/>
  <c r="M638" i="7"/>
  <c r="L638" i="7"/>
  <c r="P637" i="7"/>
  <c r="O637" i="7"/>
  <c r="N637" i="7"/>
  <c r="M637" i="7"/>
  <c r="L637" i="7"/>
  <c r="P636" i="7"/>
  <c r="O636" i="7"/>
  <c r="N636" i="7"/>
  <c r="M636" i="7"/>
  <c r="L636" i="7"/>
  <c r="P635" i="7"/>
  <c r="O635" i="7"/>
  <c r="N635" i="7"/>
  <c r="M635" i="7"/>
  <c r="L635" i="7"/>
  <c r="P634" i="7"/>
  <c r="O634" i="7"/>
  <c r="N634" i="7"/>
  <c r="M634" i="7"/>
  <c r="L634" i="7"/>
  <c r="P633" i="7"/>
  <c r="O633" i="7"/>
  <c r="N633" i="7"/>
  <c r="M633" i="7"/>
  <c r="L633" i="7"/>
  <c r="P632" i="7"/>
  <c r="O632" i="7"/>
  <c r="N632" i="7"/>
  <c r="M632" i="7"/>
  <c r="L632" i="7"/>
  <c r="P631" i="7"/>
  <c r="O631" i="7"/>
  <c r="N631" i="7"/>
  <c r="M631" i="7"/>
  <c r="L631" i="7"/>
  <c r="P630" i="7"/>
  <c r="O630" i="7"/>
  <c r="N630" i="7"/>
  <c r="M630" i="7"/>
  <c r="L630" i="7"/>
  <c r="P629" i="7"/>
  <c r="O629" i="7"/>
  <c r="N629" i="7"/>
  <c r="M629" i="7"/>
  <c r="L629" i="7"/>
  <c r="P628" i="7"/>
  <c r="O628" i="7"/>
  <c r="N628" i="7"/>
  <c r="M628" i="7"/>
  <c r="L628" i="7"/>
  <c r="P627" i="7"/>
  <c r="O627" i="7"/>
  <c r="N627" i="7"/>
  <c r="M627" i="7"/>
  <c r="L627" i="7"/>
  <c r="P626" i="7"/>
  <c r="O626" i="7"/>
  <c r="N626" i="7"/>
  <c r="M626" i="7"/>
  <c r="L626" i="7"/>
  <c r="P625" i="7"/>
  <c r="O625" i="7"/>
  <c r="N625" i="7"/>
  <c r="M625" i="7"/>
  <c r="L625" i="7"/>
  <c r="P624" i="7"/>
  <c r="O624" i="7"/>
  <c r="N624" i="7"/>
  <c r="M624" i="7"/>
  <c r="L624" i="7"/>
  <c r="P623" i="7"/>
  <c r="O623" i="7"/>
  <c r="N623" i="7"/>
  <c r="M623" i="7"/>
  <c r="L623" i="7"/>
  <c r="P622" i="7"/>
  <c r="O622" i="7"/>
  <c r="N622" i="7"/>
  <c r="M622" i="7"/>
  <c r="L622" i="7"/>
  <c r="P621" i="7"/>
  <c r="O621" i="7"/>
  <c r="N621" i="7"/>
  <c r="M621" i="7"/>
  <c r="L621" i="7"/>
  <c r="P620" i="7"/>
  <c r="O620" i="7"/>
  <c r="N620" i="7"/>
  <c r="M620" i="7"/>
  <c r="L620" i="7"/>
  <c r="P619" i="7"/>
  <c r="O619" i="7"/>
  <c r="N619" i="7"/>
  <c r="M619" i="7"/>
  <c r="L619" i="7"/>
  <c r="P618" i="7"/>
  <c r="O618" i="7"/>
  <c r="N618" i="7"/>
  <c r="M618" i="7"/>
  <c r="L618" i="7"/>
  <c r="P617" i="7"/>
  <c r="O617" i="7"/>
  <c r="N617" i="7"/>
  <c r="M617" i="7"/>
  <c r="L617" i="7"/>
  <c r="P616" i="7"/>
  <c r="O616" i="7"/>
  <c r="N616" i="7"/>
  <c r="M616" i="7"/>
  <c r="L616" i="7"/>
  <c r="P615" i="7"/>
  <c r="O615" i="7"/>
  <c r="N615" i="7"/>
  <c r="M615" i="7"/>
  <c r="L615" i="7"/>
  <c r="P614" i="7"/>
  <c r="O614" i="7"/>
  <c r="N614" i="7"/>
  <c r="M614" i="7"/>
  <c r="L614" i="7"/>
  <c r="P613" i="7"/>
  <c r="O613" i="7"/>
  <c r="N613" i="7"/>
  <c r="M613" i="7"/>
  <c r="L613" i="7"/>
  <c r="P612" i="7"/>
  <c r="O612" i="7"/>
  <c r="N612" i="7"/>
  <c r="M612" i="7"/>
  <c r="L612" i="7"/>
  <c r="P611" i="7"/>
  <c r="O611" i="7"/>
  <c r="N611" i="7"/>
  <c r="M611" i="7"/>
  <c r="L611" i="7"/>
  <c r="P610" i="7"/>
  <c r="O610" i="7"/>
  <c r="N610" i="7"/>
  <c r="M610" i="7"/>
  <c r="L610" i="7"/>
  <c r="P609" i="7"/>
  <c r="O609" i="7"/>
  <c r="N609" i="7"/>
  <c r="M609" i="7"/>
  <c r="L609" i="7"/>
  <c r="P608" i="7"/>
  <c r="O608" i="7"/>
  <c r="N608" i="7"/>
  <c r="M608" i="7"/>
  <c r="L608" i="7"/>
  <c r="P607" i="7"/>
  <c r="O607" i="7"/>
  <c r="N607" i="7"/>
  <c r="M607" i="7"/>
  <c r="L607" i="7"/>
  <c r="P606" i="7"/>
  <c r="O606" i="7"/>
  <c r="N606" i="7"/>
  <c r="M606" i="7"/>
  <c r="L606" i="7"/>
  <c r="P605" i="7"/>
  <c r="O605" i="7"/>
  <c r="N605" i="7"/>
  <c r="M605" i="7"/>
  <c r="L605" i="7"/>
  <c r="P604" i="7"/>
  <c r="O604" i="7"/>
  <c r="N604" i="7"/>
  <c r="M604" i="7"/>
  <c r="L604" i="7"/>
  <c r="P603" i="7"/>
  <c r="O603" i="7"/>
  <c r="N603" i="7"/>
  <c r="M603" i="7"/>
  <c r="L603" i="7"/>
  <c r="P602" i="7"/>
  <c r="O602" i="7"/>
  <c r="N602" i="7"/>
  <c r="M602" i="7"/>
  <c r="L602" i="7"/>
  <c r="P601" i="7"/>
  <c r="O601" i="7"/>
  <c r="N601" i="7"/>
  <c r="M601" i="7"/>
  <c r="L601" i="7"/>
  <c r="P600" i="7"/>
  <c r="O600" i="7"/>
  <c r="N600" i="7"/>
  <c r="M600" i="7"/>
  <c r="L600" i="7"/>
  <c r="P599" i="7"/>
  <c r="O599" i="7"/>
  <c r="N599" i="7"/>
  <c r="M599" i="7"/>
  <c r="L599" i="7"/>
  <c r="P598" i="7"/>
  <c r="O598" i="7"/>
  <c r="N598" i="7"/>
  <c r="M598" i="7"/>
  <c r="L598" i="7"/>
  <c r="P597" i="7"/>
  <c r="O597" i="7"/>
  <c r="N597" i="7"/>
  <c r="M597" i="7"/>
  <c r="L597" i="7"/>
  <c r="P596" i="7"/>
  <c r="O596" i="7"/>
  <c r="N596" i="7"/>
  <c r="M596" i="7"/>
  <c r="L596" i="7"/>
  <c r="P595" i="7"/>
  <c r="O595" i="7"/>
  <c r="N595" i="7"/>
  <c r="M595" i="7"/>
  <c r="L595" i="7"/>
  <c r="P594" i="7"/>
  <c r="O594" i="7"/>
  <c r="N594" i="7"/>
  <c r="M594" i="7"/>
  <c r="L594" i="7"/>
  <c r="P593" i="7"/>
  <c r="O593" i="7"/>
  <c r="N593" i="7"/>
  <c r="M593" i="7"/>
  <c r="L593" i="7"/>
  <c r="P592" i="7"/>
  <c r="O592" i="7"/>
  <c r="N592" i="7"/>
  <c r="M592" i="7"/>
  <c r="L592" i="7"/>
  <c r="P591" i="7"/>
  <c r="O591" i="7"/>
  <c r="N591" i="7"/>
  <c r="M591" i="7"/>
  <c r="L591" i="7"/>
  <c r="P590" i="7"/>
  <c r="O590" i="7"/>
  <c r="N590" i="7"/>
  <c r="M590" i="7"/>
  <c r="L590" i="7"/>
  <c r="P589" i="7"/>
  <c r="O589" i="7"/>
  <c r="N589" i="7"/>
  <c r="M589" i="7"/>
  <c r="L589" i="7"/>
  <c r="P588" i="7"/>
  <c r="O588" i="7"/>
  <c r="N588" i="7"/>
  <c r="M588" i="7"/>
  <c r="L588" i="7"/>
  <c r="P587" i="7"/>
  <c r="O587" i="7"/>
  <c r="N587" i="7"/>
  <c r="M587" i="7"/>
  <c r="L587" i="7"/>
  <c r="P586" i="7"/>
  <c r="O586" i="7"/>
  <c r="N586" i="7"/>
  <c r="M586" i="7"/>
  <c r="L586" i="7"/>
  <c r="P585" i="7"/>
  <c r="O585" i="7"/>
  <c r="N585" i="7"/>
  <c r="M585" i="7"/>
  <c r="L585" i="7"/>
  <c r="P584" i="7"/>
  <c r="O584" i="7"/>
  <c r="N584" i="7"/>
  <c r="M584" i="7"/>
  <c r="L584" i="7"/>
  <c r="P583" i="7"/>
  <c r="O583" i="7"/>
  <c r="N583" i="7"/>
  <c r="M583" i="7"/>
  <c r="L583" i="7"/>
  <c r="P582" i="7"/>
  <c r="O582" i="7"/>
  <c r="N582" i="7"/>
  <c r="M582" i="7"/>
  <c r="L582" i="7"/>
  <c r="P581" i="7"/>
  <c r="O581" i="7"/>
  <c r="N581" i="7"/>
  <c r="M581" i="7"/>
  <c r="L581" i="7"/>
  <c r="P580" i="7"/>
  <c r="O580" i="7"/>
  <c r="N580" i="7"/>
  <c r="M580" i="7"/>
  <c r="L580" i="7"/>
  <c r="P579" i="7"/>
  <c r="O579" i="7"/>
  <c r="N579" i="7"/>
  <c r="M579" i="7"/>
  <c r="L579" i="7"/>
  <c r="P578" i="7"/>
  <c r="O578" i="7"/>
  <c r="N578" i="7"/>
  <c r="M578" i="7"/>
  <c r="L578" i="7"/>
  <c r="P577" i="7"/>
  <c r="O577" i="7"/>
  <c r="N577" i="7"/>
  <c r="M577" i="7"/>
  <c r="L577" i="7"/>
  <c r="P576" i="7"/>
  <c r="O576" i="7"/>
  <c r="N576" i="7"/>
  <c r="M576" i="7"/>
  <c r="L576" i="7"/>
  <c r="P575" i="7"/>
  <c r="O575" i="7"/>
  <c r="N575" i="7"/>
  <c r="M575" i="7"/>
  <c r="L575" i="7"/>
  <c r="P574" i="7"/>
  <c r="O574" i="7"/>
  <c r="N574" i="7"/>
  <c r="M574" i="7"/>
  <c r="L574" i="7"/>
  <c r="P573" i="7"/>
  <c r="O573" i="7"/>
  <c r="N573" i="7"/>
  <c r="M573" i="7"/>
  <c r="L573" i="7"/>
  <c r="P572" i="7"/>
  <c r="O572" i="7"/>
  <c r="N572" i="7"/>
  <c r="M572" i="7"/>
  <c r="L572" i="7"/>
  <c r="P571" i="7"/>
  <c r="O571" i="7"/>
  <c r="N571" i="7"/>
  <c r="M571" i="7"/>
  <c r="L571" i="7"/>
  <c r="P570" i="7"/>
  <c r="O570" i="7"/>
  <c r="N570" i="7"/>
  <c r="M570" i="7"/>
  <c r="L570" i="7"/>
  <c r="P569" i="7"/>
  <c r="O569" i="7"/>
  <c r="N569" i="7"/>
  <c r="M569" i="7"/>
  <c r="L569" i="7"/>
  <c r="P568" i="7"/>
  <c r="O568" i="7"/>
  <c r="N568" i="7"/>
  <c r="M568" i="7"/>
  <c r="L568" i="7"/>
  <c r="P567" i="7"/>
  <c r="O567" i="7"/>
  <c r="N567" i="7"/>
  <c r="M567" i="7"/>
  <c r="L567" i="7"/>
  <c r="P566" i="7"/>
  <c r="O566" i="7"/>
  <c r="N566" i="7"/>
  <c r="M566" i="7"/>
  <c r="L566" i="7"/>
  <c r="P565" i="7"/>
  <c r="O565" i="7"/>
  <c r="N565" i="7"/>
  <c r="M565" i="7"/>
  <c r="L565" i="7"/>
  <c r="P564" i="7"/>
  <c r="O564" i="7"/>
  <c r="N564" i="7"/>
  <c r="M564" i="7"/>
  <c r="L564" i="7"/>
  <c r="P563" i="7"/>
  <c r="O563" i="7"/>
  <c r="N563" i="7"/>
  <c r="M563" i="7"/>
  <c r="L563" i="7"/>
  <c r="P562" i="7"/>
  <c r="O562" i="7"/>
  <c r="N562" i="7"/>
  <c r="M562" i="7"/>
  <c r="L562" i="7"/>
  <c r="P561" i="7"/>
  <c r="O561" i="7"/>
  <c r="N561" i="7"/>
  <c r="M561" i="7"/>
  <c r="L561" i="7"/>
  <c r="P560" i="7"/>
  <c r="O560" i="7"/>
  <c r="N560" i="7"/>
  <c r="M560" i="7"/>
  <c r="L560" i="7"/>
  <c r="P559" i="7"/>
  <c r="O559" i="7"/>
  <c r="N559" i="7"/>
  <c r="M559" i="7"/>
  <c r="L559" i="7"/>
  <c r="P558" i="7"/>
  <c r="O558" i="7"/>
  <c r="N558" i="7"/>
  <c r="M558" i="7"/>
  <c r="L558" i="7"/>
  <c r="P557" i="7"/>
  <c r="O557" i="7"/>
  <c r="N557" i="7"/>
  <c r="M557" i="7"/>
  <c r="L557" i="7"/>
  <c r="P556" i="7"/>
  <c r="O556" i="7"/>
  <c r="N556" i="7"/>
  <c r="M556" i="7"/>
  <c r="L556" i="7"/>
  <c r="P555" i="7"/>
  <c r="O555" i="7"/>
  <c r="N555" i="7"/>
  <c r="M555" i="7"/>
  <c r="L555" i="7"/>
  <c r="P554" i="7"/>
  <c r="O554" i="7"/>
  <c r="N554" i="7"/>
  <c r="M554" i="7"/>
  <c r="L554" i="7"/>
  <c r="P553" i="7"/>
  <c r="O553" i="7"/>
  <c r="N553" i="7"/>
  <c r="M553" i="7"/>
  <c r="L553" i="7"/>
  <c r="P552" i="7"/>
  <c r="O552" i="7"/>
  <c r="N552" i="7"/>
  <c r="M552" i="7"/>
  <c r="L552" i="7"/>
  <c r="P551" i="7"/>
  <c r="O551" i="7"/>
  <c r="N551" i="7"/>
  <c r="M551" i="7"/>
  <c r="L551" i="7"/>
  <c r="P550" i="7"/>
  <c r="O550" i="7"/>
  <c r="N550" i="7"/>
  <c r="M550" i="7"/>
  <c r="L550" i="7"/>
  <c r="P549" i="7"/>
  <c r="O549" i="7"/>
  <c r="N549" i="7"/>
  <c r="M549" i="7"/>
  <c r="L549" i="7"/>
  <c r="P548" i="7"/>
  <c r="O548" i="7"/>
  <c r="N548" i="7"/>
  <c r="M548" i="7"/>
  <c r="L548" i="7"/>
  <c r="P547" i="7"/>
  <c r="O547" i="7"/>
  <c r="N547" i="7"/>
  <c r="M547" i="7"/>
  <c r="L547" i="7"/>
  <c r="P546" i="7"/>
  <c r="O546" i="7"/>
  <c r="N546" i="7"/>
  <c r="M546" i="7"/>
  <c r="L546" i="7"/>
  <c r="P545" i="7"/>
  <c r="O545" i="7"/>
  <c r="N545" i="7"/>
  <c r="M545" i="7"/>
  <c r="L545" i="7"/>
  <c r="P544" i="7"/>
  <c r="O544" i="7"/>
  <c r="N544" i="7"/>
  <c r="M544" i="7"/>
  <c r="L544" i="7"/>
  <c r="P543" i="7"/>
  <c r="O543" i="7"/>
  <c r="N543" i="7"/>
  <c r="M543" i="7"/>
  <c r="L543" i="7"/>
  <c r="P542" i="7"/>
  <c r="O542" i="7"/>
  <c r="N542" i="7"/>
  <c r="M542" i="7"/>
  <c r="L542" i="7"/>
  <c r="P541" i="7"/>
  <c r="O541" i="7"/>
  <c r="N541" i="7"/>
  <c r="M541" i="7"/>
  <c r="L541" i="7"/>
  <c r="P540" i="7"/>
  <c r="O540" i="7"/>
  <c r="N540" i="7"/>
  <c r="M540" i="7"/>
  <c r="L540" i="7"/>
  <c r="P539" i="7"/>
  <c r="O539" i="7"/>
  <c r="N539" i="7"/>
  <c r="M539" i="7"/>
  <c r="L539" i="7"/>
  <c r="P538" i="7"/>
  <c r="O538" i="7"/>
  <c r="N538" i="7"/>
  <c r="M538" i="7"/>
  <c r="L538" i="7"/>
  <c r="P537" i="7"/>
  <c r="O537" i="7"/>
  <c r="N537" i="7"/>
  <c r="M537" i="7"/>
  <c r="L537" i="7"/>
  <c r="P536" i="7"/>
  <c r="O536" i="7"/>
  <c r="N536" i="7"/>
  <c r="M536" i="7"/>
  <c r="L536" i="7"/>
  <c r="P535" i="7"/>
  <c r="O535" i="7"/>
  <c r="N535" i="7"/>
  <c r="M535" i="7"/>
  <c r="L535" i="7"/>
  <c r="P534" i="7"/>
  <c r="O534" i="7"/>
  <c r="N534" i="7"/>
  <c r="M534" i="7"/>
  <c r="L534" i="7"/>
  <c r="P533" i="7"/>
  <c r="O533" i="7"/>
  <c r="N533" i="7"/>
  <c r="M533" i="7"/>
  <c r="L533" i="7"/>
  <c r="P532" i="7"/>
  <c r="O532" i="7"/>
  <c r="N532" i="7"/>
  <c r="M532" i="7"/>
  <c r="L532" i="7"/>
  <c r="P531" i="7"/>
  <c r="O531" i="7"/>
  <c r="N531" i="7"/>
  <c r="M531" i="7"/>
  <c r="L531" i="7"/>
  <c r="P530" i="7"/>
  <c r="O530" i="7"/>
  <c r="N530" i="7"/>
  <c r="M530" i="7"/>
  <c r="L530" i="7"/>
  <c r="P529" i="7"/>
  <c r="O529" i="7"/>
  <c r="N529" i="7"/>
  <c r="M529" i="7"/>
  <c r="L529" i="7"/>
  <c r="P528" i="7"/>
  <c r="O528" i="7"/>
  <c r="N528" i="7"/>
  <c r="M528" i="7"/>
  <c r="L528" i="7"/>
  <c r="P527" i="7"/>
  <c r="O527" i="7"/>
  <c r="N527" i="7"/>
  <c r="M527" i="7"/>
  <c r="L527" i="7"/>
  <c r="P526" i="7"/>
  <c r="O526" i="7"/>
  <c r="N526" i="7"/>
  <c r="M526" i="7"/>
  <c r="L526" i="7"/>
  <c r="P525" i="7"/>
  <c r="O525" i="7"/>
  <c r="N525" i="7"/>
  <c r="M525" i="7"/>
  <c r="L525" i="7"/>
  <c r="P524" i="7"/>
  <c r="O524" i="7"/>
  <c r="N524" i="7"/>
  <c r="M524" i="7"/>
  <c r="L524" i="7"/>
  <c r="P523" i="7"/>
  <c r="O523" i="7"/>
  <c r="N523" i="7"/>
  <c r="M523" i="7"/>
  <c r="L523" i="7"/>
  <c r="P522" i="7"/>
  <c r="O522" i="7"/>
  <c r="N522" i="7"/>
  <c r="M522" i="7"/>
  <c r="L522" i="7"/>
  <c r="P521" i="7"/>
  <c r="O521" i="7"/>
  <c r="N521" i="7"/>
  <c r="M521" i="7"/>
  <c r="L521" i="7"/>
  <c r="P520" i="7"/>
  <c r="O520" i="7"/>
  <c r="N520" i="7"/>
  <c r="M520" i="7"/>
  <c r="L520" i="7"/>
  <c r="P519" i="7"/>
  <c r="O519" i="7"/>
  <c r="N519" i="7"/>
  <c r="M519" i="7"/>
  <c r="L519" i="7"/>
  <c r="P518" i="7"/>
  <c r="O518" i="7"/>
  <c r="N518" i="7"/>
  <c r="M518" i="7"/>
  <c r="L518" i="7"/>
  <c r="P517" i="7"/>
  <c r="O517" i="7"/>
  <c r="N517" i="7"/>
  <c r="M517" i="7"/>
  <c r="L517" i="7"/>
  <c r="P516" i="7"/>
  <c r="O516" i="7"/>
  <c r="N516" i="7"/>
  <c r="M516" i="7"/>
  <c r="L516" i="7"/>
  <c r="P515" i="7"/>
  <c r="O515" i="7"/>
  <c r="N515" i="7"/>
  <c r="M515" i="7"/>
  <c r="L515" i="7"/>
  <c r="P514" i="7"/>
  <c r="O514" i="7"/>
  <c r="N514" i="7"/>
  <c r="M514" i="7"/>
  <c r="L514" i="7"/>
  <c r="P513" i="7"/>
  <c r="O513" i="7"/>
  <c r="N513" i="7"/>
  <c r="M513" i="7"/>
  <c r="L513" i="7"/>
  <c r="P512" i="7"/>
  <c r="O512" i="7"/>
  <c r="N512" i="7"/>
  <c r="M512" i="7"/>
  <c r="L512" i="7"/>
  <c r="P511" i="7"/>
  <c r="O511" i="7"/>
  <c r="N511" i="7"/>
  <c r="M511" i="7"/>
  <c r="L511" i="7"/>
  <c r="P510" i="7"/>
  <c r="O510" i="7"/>
  <c r="N510" i="7"/>
  <c r="M510" i="7"/>
  <c r="L510" i="7"/>
  <c r="P509" i="7"/>
  <c r="O509" i="7"/>
  <c r="N509" i="7"/>
  <c r="M509" i="7"/>
  <c r="L509" i="7"/>
  <c r="P508" i="7"/>
  <c r="O508" i="7"/>
  <c r="N508" i="7"/>
  <c r="M508" i="7"/>
  <c r="L508" i="7"/>
  <c r="P507" i="7"/>
  <c r="O507" i="7"/>
  <c r="N507" i="7"/>
  <c r="M507" i="7"/>
  <c r="L507" i="7"/>
  <c r="P506" i="7"/>
  <c r="O506" i="7"/>
  <c r="N506" i="7"/>
  <c r="M506" i="7"/>
  <c r="L506" i="7"/>
  <c r="P505" i="7"/>
  <c r="O505" i="7"/>
  <c r="N505" i="7"/>
  <c r="M505" i="7"/>
  <c r="L505" i="7"/>
  <c r="P504" i="7"/>
  <c r="O504" i="7"/>
  <c r="N504" i="7"/>
  <c r="M504" i="7"/>
  <c r="L504" i="7"/>
  <c r="P503" i="7"/>
  <c r="O503" i="7"/>
  <c r="N503" i="7"/>
  <c r="M503" i="7"/>
  <c r="L503" i="7"/>
  <c r="P502" i="7"/>
  <c r="O502" i="7"/>
  <c r="N502" i="7"/>
  <c r="M502" i="7"/>
  <c r="L502" i="7"/>
  <c r="P501" i="7"/>
  <c r="O501" i="7"/>
  <c r="N501" i="7"/>
  <c r="M501" i="7"/>
  <c r="L501" i="7"/>
  <c r="P500" i="7"/>
  <c r="O500" i="7"/>
  <c r="N500" i="7"/>
  <c r="M500" i="7"/>
  <c r="L500" i="7"/>
  <c r="P499" i="7"/>
  <c r="O499" i="7"/>
  <c r="N499" i="7"/>
  <c r="M499" i="7"/>
  <c r="L499" i="7"/>
  <c r="P498" i="7"/>
  <c r="O498" i="7"/>
  <c r="N498" i="7"/>
  <c r="M498" i="7"/>
  <c r="L498" i="7"/>
  <c r="P497" i="7"/>
  <c r="O497" i="7"/>
  <c r="N497" i="7"/>
  <c r="M497" i="7"/>
  <c r="L497" i="7"/>
  <c r="P496" i="7"/>
  <c r="O496" i="7"/>
  <c r="N496" i="7"/>
  <c r="M496" i="7"/>
  <c r="L496" i="7"/>
  <c r="P495" i="7"/>
  <c r="O495" i="7"/>
  <c r="N495" i="7"/>
  <c r="M495" i="7"/>
  <c r="L495" i="7"/>
  <c r="P494" i="7"/>
  <c r="O494" i="7"/>
  <c r="N494" i="7"/>
  <c r="M494" i="7"/>
  <c r="L494" i="7"/>
  <c r="P493" i="7"/>
  <c r="O493" i="7"/>
  <c r="N493" i="7"/>
  <c r="M493" i="7"/>
  <c r="L493" i="7"/>
  <c r="P492" i="7"/>
  <c r="O492" i="7"/>
  <c r="N492" i="7"/>
  <c r="M492" i="7"/>
  <c r="L492" i="7"/>
  <c r="P491" i="7"/>
  <c r="O491" i="7"/>
  <c r="N491" i="7"/>
  <c r="M491" i="7"/>
  <c r="L491" i="7"/>
  <c r="P490" i="7"/>
  <c r="O490" i="7"/>
  <c r="N490" i="7"/>
  <c r="M490" i="7"/>
  <c r="L490" i="7"/>
  <c r="P489" i="7"/>
  <c r="O489" i="7"/>
  <c r="N489" i="7"/>
  <c r="M489" i="7"/>
  <c r="L489" i="7"/>
  <c r="P488" i="7"/>
  <c r="O488" i="7"/>
  <c r="N488" i="7"/>
  <c r="M488" i="7"/>
  <c r="L488" i="7"/>
  <c r="P487" i="7"/>
  <c r="O487" i="7"/>
  <c r="N487" i="7"/>
  <c r="M487" i="7"/>
  <c r="L487" i="7"/>
  <c r="P486" i="7"/>
  <c r="O486" i="7"/>
  <c r="N486" i="7"/>
  <c r="M486" i="7"/>
  <c r="L486" i="7"/>
  <c r="P485" i="7"/>
  <c r="O485" i="7"/>
  <c r="N485" i="7"/>
  <c r="M485" i="7"/>
  <c r="L485" i="7"/>
  <c r="P484" i="7"/>
  <c r="O484" i="7"/>
  <c r="N484" i="7"/>
  <c r="M484" i="7"/>
  <c r="L484" i="7"/>
  <c r="P483" i="7"/>
  <c r="O483" i="7"/>
  <c r="N483" i="7"/>
  <c r="M483" i="7"/>
  <c r="L483" i="7"/>
  <c r="P482" i="7"/>
  <c r="O482" i="7"/>
  <c r="N482" i="7"/>
  <c r="M482" i="7"/>
  <c r="L482" i="7"/>
  <c r="P481" i="7"/>
  <c r="O481" i="7"/>
  <c r="N481" i="7"/>
  <c r="M481" i="7"/>
  <c r="L481" i="7"/>
  <c r="P480" i="7"/>
  <c r="O480" i="7"/>
  <c r="N480" i="7"/>
  <c r="M480" i="7"/>
  <c r="L480" i="7"/>
  <c r="P479" i="7"/>
  <c r="O479" i="7"/>
  <c r="N479" i="7"/>
  <c r="M479" i="7"/>
  <c r="L479" i="7"/>
  <c r="P478" i="7"/>
  <c r="O478" i="7"/>
  <c r="N478" i="7"/>
  <c r="M478" i="7"/>
  <c r="L478" i="7"/>
  <c r="P477" i="7"/>
  <c r="O477" i="7"/>
  <c r="N477" i="7"/>
  <c r="M477" i="7"/>
  <c r="L477" i="7"/>
  <c r="P476" i="7"/>
  <c r="O476" i="7"/>
  <c r="N476" i="7"/>
  <c r="M476" i="7"/>
  <c r="L476" i="7"/>
  <c r="P475" i="7"/>
  <c r="O475" i="7"/>
  <c r="N475" i="7"/>
  <c r="M475" i="7"/>
  <c r="L475" i="7"/>
  <c r="P474" i="7"/>
  <c r="O474" i="7"/>
  <c r="N474" i="7"/>
  <c r="M474" i="7"/>
  <c r="L474" i="7"/>
  <c r="P473" i="7"/>
  <c r="O473" i="7"/>
  <c r="N473" i="7"/>
  <c r="M473" i="7"/>
  <c r="L473" i="7"/>
  <c r="P472" i="7"/>
  <c r="O472" i="7"/>
  <c r="N472" i="7"/>
  <c r="M472" i="7"/>
  <c r="L472" i="7"/>
  <c r="P471" i="7"/>
  <c r="O471" i="7"/>
  <c r="N471" i="7"/>
  <c r="M471" i="7"/>
  <c r="L471" i="7"/>
  <c r="P470" i="7"/>
  <c r="O470" i="7"/>
  <c r="N470" i="7"/>
  <c r="M470" i="7"/>
  <c r="L470" i="7"/>
  <c r="P469" i="7"/>
  <c r="O469" i="7"/>
  <c r="N469" i="7"/>
  <c r="M469" i="7"/>
  <c r="L469" i="7"/>
  <c r="P468" i="7"/>
  <c r="O468" i="7"/>
  <c r="N468" i="7"/>
  <c r="M468" i="7"/>
  <c r="L468" i="7"/>
  <c r="P467" i="7"/>
  <c r="O467" i="7"/>
  <c r="N467" i="7"/>
  <c r="M467" i="7"/>
  <c r="L467" i="7"/>
  <c r="P466" i="7"/>
  <c r="O466" i="7"/>
  <c r="N466" i="7"/>
  <c r="M466" i="7"/>
  <c r="L466" i="7"/>
  <c r="P465" i="7"/>
  <c r="O465" i="7"/>
  <c r="N465" i="7"/>
  <c r="M465" i="7"/>
  <c r="L465" i="7"/>
  <c r="P464" i="7"/>
  <c r="O464" i="7"/>
  <c r="N464" i="7"/>
  <c r="M464" i="7"/>
  <c r="L464" i="7"/>
  <c r="P463" i="7"/>
  <c r="O463" i="7"/>
  <c r="N463" i="7"/>
  <c r="M463" i="7"/>
  <c r="L463" i="7"/>
  <c r="P462" i="7"/>
  <c r="O462" i="7"/>
  <c r="N462" i="7"/>
  <c r="M462" i="7"/>
  <c r="L462" i="7"/>
  <c r="P461" i="7"/>
  <c r="O461" i="7"/>
  <c r="N461" i="7"/>
  <c r="M461" i="7"/>
  <c r="L461" i="7"/>
  <c r="P460" i="7"/>
  <c r="O460" i="7"/>
  <c r="N460" i="7"/>
  <c r="M460" i="7"/>
  <c r="L460" i="7"/>
  <c r="P459" i="7"/>
  <c r="O459" i="7"/>
  <c r="N459" i="7"/>
  <c r="M459" i="7"/>
  <c r="L459" i="7"/>
  <c r="P458" i="7"/>
  <c r="O458" i="7"/>
  <c r="N458" i="7"/>
  <c r="M458" i="7"/>
  <c r="L458" i="7"/>
  <c r="P457" i="7"/>
  <c r="O457" i="7"/>
  <c r="N457" i="7"/>
  <c r="M457" i="7"/>
  <c r="L457" i="7"/>
  <c r="P456" i="7"/>
  <c r="O456" i="7"/>
  <c r="N456" i="7"/>
  <c r="M456" i="7"/>
  <c r="L456" i="7"/>
  <c r="P455" i="7"/>
  <c r="O455" i="7"/>
  <c r="N455" i="7"/>
  <c r="M455" i="7"/>
  <c r="L455" i="7"/>
  <c r="P454" i="7"/>
  <c r="O454" i="7"/>
  <c r="N454" i="7"/>
  <c r="M454" i="7"/>
  <c r="L454" i="7"/>
  <c r="P453" i="7"/>
  <c r="O453" i="7"/>
  <c r="N453" i="7"/>
  <c r="M453" i="7"/>
  <c r="L453" i="7"/>
  <c r="P452" i="7"/>
  <c r="O452" i="7"/>
  <c r="N452" i="7"/>
  <c r="M452" i="7"/>
  <c r="L452" i="7"/>
  <c r="P451" i="7"/>
  <c r="O451" i="7"/>
  <c r="N451" i="7"/>
  <c r="M451" i="7"/>
  <c r="L451" i="7"/>
  <c r="P450" i="7"/>
  <c r="O450" i="7"/>
  <c r="N450" i="7"/>
  <c r="M450" i="7"/>
  <c r="L450" i="7"/>
  <c r="P449" i="7"/>
  <c r="O449" i="7"/>
  <c r="N449" i="7"/>
  <c r="M449" i="7"/>
  <c r="L449" i="7"/>
  <c r="P448" i="7"/>
  <c r="O448" i="7"/>
  <c r="N448" i="7"/>
  <c r="M448" i="7"/>
  <c r="L448" i="7"/>
  <c r="P447" i="7"/>
  <c r="O447" i="7"/>
  <c r="N447" i="7"/>
  <c r="M447" i="7"/>
  <c r="L447" i="7"/>
  <c r="P446" i="7"/>
  <c r="O446" i="7"/>
  <c r="N446" i="7"/>
  <c r="M446" i="7"/>
  <c r="L446" i="7"/>
  <c r="P445" i="7"/>
  <c r="O445" i="7"/>
  <c r="N445" i="7"/>
  <c r="M445" i="7"/>
  <c r="L445" i="7"/>
  <c r="P444" i="7"/>
  <c r="O444" i="7"/>
  <c r="N444" i="7"/>
  <c r="M444" i="7"/>
  <c r="L444" i="7"/>
  <c r="P443" i="7"/>
  <c r="O443" i="7"/>
  <c r="N443" i="7"/>
  <c r="M443" i="7"/>
  <c r="L443" i="7"/>
  <c r="P442" i="7"/>
  <c r="O442" i="7"/>
  <c r="N442" i="7"/>
  <c r="M442" i="7"/>
  <c r="L442" i="7"/>
  <c r="P441" i="7"/>
  <c r="O441" i="7"/>
  <c r="N441" i="7"/>
  <c r="M441" i="7"/>
  <c r="L441" i="7"/>
  <c r="P440" i="7"/>
  <c r="O440" i="7"/>
  <c r="N440" i="7"/>
  <c r="M440" i="7"/>
  <c r="L440" i="7"/>
  <c r="P439" i="7"/>
  <c r="O439" i="7"/>
  <c r="N439" i="7"/>
  <c r="M439" i="7"/>
  <c r="L439" i="7"/>
  <c r="P438" i="7"/>
  <c r="O438" i="7"/>
  <c r="N438" i="7"/>
  <c r="M438" i="7"/>
  <c r="L438" i="7"/>
  <c r="P437" i="7"/>
  <c r="O437" i="7"/>
  <c r="N437" i="7"/>
  <c r="M437" i="7"/>
  <c r="L437" i="7"/>
  <c r="P436" i="7"/>
  <c r="O436" i="7"/>
  <c r="N436" i="7"/>
  <c r="M436" i="7"/>
  <c r="L436" i="7"/>
  <c r="P435" i="7"/>
  <c r="O435" i="7"/>
  <c r="N435" i="7"/>
  <c r="M435" i="7"/>
  <c r="L435" i="7"/>
  <c r="P434" i="7"/>
  <c r="O434" i="7"/>
  <c r="N434" i="7"/>
  <c r="M434" i="7"/>
  <c r="L434" i="7"/>
  <c r="P433" i="7"/>
  <c r="O433" i="7"/>
  <c r="N433" i="7"/>
  <c r="M433" i="7"/>
  <c r="L433" i="7"/>
  <c r="P432" i="7"/>
  <c r="O432" i="7"/>
  <c r="N432" i="7"/>
  <c r="M432" i="7"/>
  <c r="L432" i="7"/>
  <c r="P431" i="7"/>
  <c r="O431" i="7"/>
  <c r="N431" i="7"/>
  <c r="M431" i="7"/>
  <c r="L431" i="7"/>
  <c r="P430" i="7"/>
  <c r="O430" i="7"/>
  <c r="N430" i="7"/>
  <c r="M430" i="7"/>
  <c r="L430" i="7"/>
  <c r="P429" i="7"/>
  <c r="O429" i="7"/>
  <c r="N429" i="7"/>
  <c r="M429" i="7"/>
  <c r="L429" i="7"/>
  <c r="P428" i="7"/>
  <c r="O428" i="7"/>
  <c r="N428" i="7"/>
  <c r="M428" i="7"/>
  <c r="L428" i="7"/>
  <c r="P427" i="7"/>
  <c r="O427" i="7"/>
  <c r="N427" i="7"/>
  <c r="M427" i="7"/>
  <c r="L427" i="7"/>
  <c r="P426" i="7"/>
  <c r="O426" i="7"/>
  <c r="N426" i="7"/>
  <c r="M426" i="7"/>
  <c r="L426" i="7"/>
  <c r="P425" i="7"/>
  <c r="O425" i="7"/>
  <c r="N425" i="7"/>
  <c r="M425" i="7"/>
  <c r="L425" i="7"/>
  <c r="P424" i="7"/>
  <c r="O424" i="7"/>
  <c r="N424" i="7"/>
  <c r="M424" i="7"/>
  <c r="L424" i="7"/>
  <c r="P423" i="7"/>
  <c r="O423" i="7"/>
  <c r="N423" i="7"/>
  <c r="M423" i="7"/>
  <c r="L423" i="7"/>
  <c r="P422" i="7"/>
  <c r="O422" i="7"/>
  <c r="N422" i="7"/>
  <c r="M422" i="7"/>
  <c r="L422" i="7"/>
  <c r="P421" i="7"/>
  <c r="O421" i="7"/>
  <c r="N421" i="7"/>
  <c r="M421" i="7"/>
  <c r="L421" i="7"/>
  <c r="P420" i="7"/>
  <c r="O420" i="7"/>
  <c r="N420" i="7"/>
  <c r="M420" i="7"/>
  <c r="L420" i="7"/>
  <c r="P419" i="7"/>
  <c r="O419" i="7"/>
  <c r="N419" i="7"/>
  <c r="M419" i="7"/>
  <c r="L419" i="7"/>
  <c r="P418" i="7"/>
  <c r="O418" i="7"/>
  <c r="N418" i="7"/>
  <c r="M418" i="7"/>
  <c r="L418" i="7"/>
  <c r="P417" i="7"/>
  <c r="O417" i="7"/>
  <c r="N417" i="7"/>
  <c r="M417" i="7"/>
  <c r="L417" i="7"/>
  <c r="P416" i="7"/>
  <c r="O416" i="7"/>
  <c r="N416" i="7"/>
  <c r="M416" i="7"/>
  <c r="L416" i="7"/>
  <c r="P415" i="7"/>
  <c r="O415" i="7"/>
  <c r="N415" i="7"/>
  <c r="M415" i="7"/>
  <c r="L415" i="7"/>
  <c r="P414" i="7"/>
  <c r="O414" i="7"/>
  <c r="N414" i="7"/>
  <c r="M414" i="7"/>
  <c r="L414" i="7"/>
  <c r="P413" i="7"/>
  <c r="O413" i="7"/>
  <c r="N413" i="7"/>
  <c r="M413" i="7"/>
  <c r="L413" i="7"/>
  <c r="P412" i="7"/>
  <c r="O412" i="7"/>
  <c r="N412" i="7"/>
  <c r="M412" i="7"/>
  <c r="L412" i="7"/>
  <c r="P411" i="7"/>
  <c r="O411" i="7"/>
  <c r="N411" i="7"/>
  <c r="M411" i="7"/>
  <c r="L411" i="7"/>
  <c r="P410" i="7"/>
  <c r="O410" i="7"/>
  <c r="N410" i="7"/>
  <c r="M410" i="7"/>
  <c r="L410" i="7"/>
  <c r="P409" i="7"/>
  <c r="O409" i="7"/>
  <c r="N409" i="7"/>
  <c r="M409" i="7"/>
  <c r="L409" i="7"/>
  <c r="P408" i="7"/>
  <c r="O408" i="7"/>
  <c r="N408" i="7"/>
  <c r="M408" i="7"/>
  <c r="L408" i="7"/>
  <c r="P407" i="7"/>
  <c r="O407" i="7"/>
  <c r="N407" i="7"/>
  <c r="M407" i="7"/>
  <c r="L407" i="7"/>
  <c r="P406" i="7"/>
  <c r="O406" i="7"/>
  <c r="N406" i="7"/>
  <c r="M406" i="7"/>
  <c r="L406" i="7"/>
  <c r="P405" i="7"/>
  <c r="O405" i="7"/>
  <c r="N405" i="7"/>
  <c r="M405" i="7"/>
  <c r="L405" i="7"/>
  <c r="P404" i="7"/>
  <c r="O404" i="7"/>
  <c r="N404" i="7"/>
  <c r="M404" i="7"/>
  <c r="L404" i="7"/>
  <c r="P403" i="7"/>
  <c r="O403" i="7"/>
  <c r="N403" i="7"/>
  <c r="M403" i="7"/>
  <c r="L403" i="7"/>
  <c r="P402" i="7"/>
  <c r="O402" i="7"/>
  <c r="N402" i="7"/>
  <c r="M402" i="7"/>
  <c r="L402" i="7"/>
  <c r="P401" i="7"/>
  <c r="O401" i="7"/>
  <c r="N401" i="7"/>
  <c r="M401" i="7"/>
  <c r="L401" i="7"/>
  <c r="P400" i="7"/>
  <c r="O400" i="7"/>
  <c r="N400" i="7"/>
  <c r="M400" i="7"/>
  <c r="L400" i="7"/>
  <c r="P399" i="7"/>
  <c r="O399" i="7"/>
  <c r="N399" i="7"/>
  <c r="M399" i="7"/>
  <c r="L399" i="7"/>
  <c r="P398" i="7"/>
  <c r="O398" i="7"/>
  <c r="N398" i="7"/>
  <c r="M398" i="7"/>
  <c r="L398" i="7"/>
  <c r="P397" i="7"/>
  <c r="O397" i="7"/>
  <c r="N397" i="7"/>
  <c r="M397" i="7"/>
  <c r="L397" i="7"/>
  <c r="P396" i="7"/>
  <c r="O396" i="7"/>
  <c r="N396" i="7"/>
  <c r="M396" i="7"/>
  <c r="L396" i="7"/>
  <c r="P395" i="7"/>
  <c r="O395" i="7"/>
  <c r="N395" i="7"/>
  <c r="M395" i="7"/>
  <c r="L395" i="7"/>
  <c r="P394" i="7"/>
  <c r="O394" i="7"/>
  <c r="N394" i="7"/>
  <c r="M394" i="7"/>
  <c r="L394" i="7"/>
  <c r="P393" i="7"/>
  <c r="O393" i="7"/>
  <c r="N393" i="7"/>
  <c r="M393" i="7"/>
  <c r="L393" i="7"/>
  <c r="P392" i="7"/>
  <c r="O392" i="7"/>
  <c r="N392" i="7"/>
  <c r="M392" i="7"/>
  <c r="L392" i="7"/>
  <c r="P391" i="7"/>
  <c r="O391" i="7"/>
  <c r="N391" i="7"/>
  <c r="M391" i="7"/>
  <c r="L391" i="7"/>
  <c r="P390" i="7"/>
  <c r="O390" i="7"/>
  <c r="N390" i="7"/>
  <c r="M390" i="7"/>
  <c r="L390" i="7"/>
  <c r="P389" i="7"/>
  <c r="O389" i="7"/>
  <c r="N389" i="7"/>
  <c r="M389" i="7"/>
  <c r="L389" i="7"/>
  <c r="P388" i="7"/>
  <c r="O388" i="7"/>
  <c r="N388" i="7"/>
  <c r="M388" i="7"/>
  <c r="L388" i="7"/>
  <c r="P387" i="7"/>
  <c r="O387" i="7"/>
  <c r="N387" i="7"/>
  <c r="M387" i="7"/>
  <c r="L387" i="7"/>
  <c r="P386" i="7"/>
  <c r="O386" i="7"/>
  <c r="N386" i="7"/>
  <c r="M386" i="7"/>
  <c r="L386" i="7"/>
  <c r="P385" i="7"/>
  <c r="O385" i="7"/>
  <c r="N385" i="7"/>
  <c r="M385" i="7"/>
  <c r="L385" i="7"/>
  <c r="P384" i="7"/>
  <c r="O384" i="7"/>
  <c r="N384" i="7"/>
  <c r="M384" i="7"/>
  <c r="L384" i="7"/>
  <c r="P383" i="7"/>
  <c r="O383" i="7"/>
  <c r="N383" i="7"/>
  <c r="M383" i="7"/>
  <c r="L383" i="7"/>
  <c r="P382" i="7"/>
  <c r="O382" i="7"/>
  <c r="N382" i="7"/>
  <c r="M382" i="7"/>
  <c r="L382" i="7"/>
  <c r="P381" i="7"/>
  <c r="O381" i="7"/>
  <c r="N381" i="7"/>
  <c r="M381" i="7"/>
  <c r="L381" i="7"/>
  <c r="P380" i="7"/>
  <c r="O380" i="7"/>
  <c r="N380" i="7"/>
  <c r="M380" i="7"/>
  <c r="L380" i="7"/>
  <c r="P379" i="7"/>
  <c r="O379" i="7"/>
  <c r="N379" i="7"/>
  <c r="M379" i="7"/>
  <c r="L379" i="7"/>
  <c r="P378" i="7"/>
  <c r="O378" i="7"/>
  <c r="N378" i="7"/>
  <c r="M378" i="7"/>
  <c r="L378" i="7"/>
  <c r="P377" i="7"/>
  <c r="O377" i="7"/>
  <c r="N377" i="7"/>
  <c r="M377" i="7"/>
  <c r="L377" i="7"/>
  <c r="P376" i="7"/>
  <c r="O376" i="7"/>
  <c r="N376" i="7"/>
  <c r="M376" i="7"/>
  <c r="L376" i="7"/>
  <c r="P375" i="7"/>
  <c r="O375" i="7"/>
  <c r="N375" i="7"/>
  <c r="M375" i="7"/>
  <c r="L375" i="7"/>
  <c r="P374" i="7"/>
  <c r="O374" i="7"/>
  <c r="N374" i="7"/>
  <c r="M374" i="7"/>
  <c r="L374" i="7"/>
  <c r="P373" i="7"/>
  <c r="O373" i="7"/>
  <c r="N373" i="7"/>
  <c r="M373" i="7"/>
  <c r="L373" i="7"/>
  <c r="P372" i="7"/>
  <c r="O372" i="7"/>
  <c r="N372" i="7"/>
  <c r="M372" i="7"/>
  <c r="L372" i="7"/>
  <c r="P371" i="7"/>
  <c r="O371" i="7"/>
  <c r="N371" i="7"/>
  <c r="M371" i="7"/>
  <c r="L371" i="7"/>
  <c r="P370" i="7"/>
  <c r="O370" i="7"/>
  <c r="N370" i="7"/>
  <c r="M370" i="7"/>
  <c r="L370" i="7"/>
  <c r="P369" i="7"/>
  <c r="O369" i="7"/>
  <c r="N369" i="7"/>
  <c r="M369" i="7"/>
  <c r="L369" i="7"/>
  <c r="P368" i="7"/>
  <c r="O368" i="7"/>
  <c r="N368" i="7"/>
  <c r="M368" i="7"/>
  <c r="L368" i="7"/>
  <c r="P367" i="7"/>
  <c r="O367" i="7"/>
  <c r="N367" i="7"/>
  <c r="M367" i="7"/>
  <c r="L367" i="7"/>
  <c r="P366" i="7"/>
  <c r="O366" i="7"/>
  <c r="N366" i="7"/>
  <c r="M366" i="7"/>
  <c r="L366" i="7"/>
  <c r="P365" i="7"/>
  <c r="O365" i="7"/>
  <c r="N365" i="7"/>
  <c r="M365" i="7"/>
  <c r="L365" i="7"/>
  <c r="P364" i="7"/>
  <c r="O364" i="7"/>
  <c r="N364" i="7"/>
  <c r="M364" i="7"/>
  <c r="L364" i="7"/>
  <c r="P363" i="7"/>
  <c r="O363" i="7"/>
  <c r="N363" i="7"/>
  <c r="M363" i="7"/>
  <c r="L363" i="7"/>
  <c r="P362" i="7"/>
  <c r="O362" i="7"/>
  <c r="N362" i="7"/>
  <c r="M362" i="7"/>
  <c r="L362" i="7"/>
  <c r="P361" i="7"/>
  <c r="O361" i="7"/>
  <c r="N361" i="7"/>
  <c r="M361" i="7"/>
  <c r="L361" i="7"/>
  <c r="P360" i="7"/>
  <c r="O360" i="7"/>
  <c r="N360" i="7"/>
  <c r="M360" i="7"/>
  <c r="L360" i="7"/>
  <c r="P359" i="7"/>
  <c r="O359" i="7"/>
  <c r="N359" i="7"/>
  <c r="M359" i="7"/>
  <c r="L359" i="7"/>
  <c r="P358" i="7"/>
  <c r="O358" i="7"/>
  <c r="N358" i="7"/>
  <c r="M358" i="7"/>
  <c r="L358" i="7"/>
  <c r="P357" i="7"/>
  <c r="O357" i="7"/>
  <c r="N357" i="7"/>
  <c r="M357" i="7"/>
  <c r="L357" i="7"/>
  <c r="P356" i="7"/>
  <c r="O356" i="7"/>
  <c r="N356" i="7"/>
  <c r="M356" i="7"/>
  <c r="L356" i="7"/>
  <c r="P355" i="7"/>
  <c r="O355" i="7"/>
  <c r="N355" i="7"/>
  <c r="M355" i="7"/>
  <c r="L355" i="7"/>
  <c r="P354" i="7"/>
  <c r="O354" i="7"/>
  <c r="N354" i="7"/>
  <c r="M354" i="7"/>
  <c r="L354" i="7"/>
  <c r="P353" i="7"/>
  <c r="O353" i="7"/>
  <c r="N353" i="7"/>
  <c r="M353" i="7"/>
  <c r="L353" i="7"/>
  <c r="P352" i="7"/>
  <c r="O352" i="7"/>
  <c r="N352" i="7"/>
  <c r="M352" i="7"/>
  <c r="L352" i="7"/>
  <c r="P351" i="7"/>
  <c r="O351" i="7"/>
  <c r="N351" i="7"/>
  <c r="M351" i="7"/>
  <c r="L351" i="7"/>
  <c r="P350" i="7"/>
  <c r="O350" i="7"/>
  <c r="N350" i="7"/>
  <c r="M350" i="7"/>
  <c r="L350" i="7"/>
  <c r="P349" i="7"/>
  <c r="O349" i="7"/>
  <c r="N349" i="7"/>
  <c r="M349" i="7"/>
  <c r="L349" i="7"/>
  <c r="P348" i="7"/>
  <c r="O348" i="7"/>
  <c r="N348" i="7"/>
  <c r="M348" i="7"/>
  <c r="L348" i="7"/>
  <c r="P347" i="7"/>
  <c r="O347" i="7"/>
  <c r="N347" i="7"/>
  <c r="M347" i="7"/>
  <c r="L347" i="7"/>
  <c r="P346" i="7"/>
  <c r="O346" i="7"/>
  <c r="N346" i="7"/>
  <c r="M346" i="7"/>
  <c r="L346" i="7"/>
  <c r="P345" i="7"/>
  <c r="O345" i="7"/>
  <c r="N345" i="7"/>
  <c r="M345" i="7"/>
  <c r="L345" i="7"/>
  <c r="P344" i="7"/>
  <c r="O344" i="7"/>
  <c r="N344" i="7"/>
  <c r="M344" i="7"/>
  <c r="L344" i="7"/>
  <c r="P343" i="7"/>
  <c r="O343" i="7"/>
  <c r="N343" i="7"/>
  <c r="M343" i="7"/>
  <c r="L343" i="7"/>
  <c r="P342" i="7"/>
  <c r="O342" i="7"/>
  <c r="N342" i="7"/>
  <c r="M342" i="7"/>
  <c r="L342" i="7"/>
  <c r="P341" i="7"/>
  <c r="O341" i="7"/>
  <c r="N341" i="7"/>
  <c r="M341" i="7"/>
  <c r="L341" i="7"/>
  <c r="P340" i="7"/>
  <c r="O340" i="7"/>
  <c r="N340" i="7"/>
  <c r="M340" i="7"/>
  <c r="L340" i="7"/>
  <c r="P339" i="7"/>
  <c r="O339" i="7"/>
  <c r="N339" i="7"/>
  <c r="M339" i="7"/>
  <c r="L339" i="7"/>
  <c r="P338" i="7"/>
  <c r="O338" i="7"/>
  <c r="N338" i="7"/>
  <c r="M338" i="7"/>
  <c r="L338" i="7"/>
  <c r="P337" i="7"/>
  <c r="O337" i="7"/>
  <c r="N337" i="7"/>
  <c r="M337" i="7"/>
  <c r="L337" i="7"/>
  <c r="P336" i="7"/>
  <c r="O336" i="7"/>
  <c r="N336" i="7"/>
  <c r="M336" i="7"/>
  <c r="L336" i="7"/>
  <c r="P335" i="7"/>
  <c r="O335" i="7"/>
  <c r="N335" i="7"/>
  <c r="M335" i="7"/>
  <c r="L335" i="7"/>
  <c r="P334" i="7"/>
  <c r="O334" i="7"/>
  <c r="N334" i="7"/>
  <c r="M334" i="7"/>
  <c r="L334" i="7"/>
  <c r="P333" i="7"/>
  <c r="O333" i="7"/>
  <c r="N333" i="7"/>
  <c r="M333" i="7"/>
  <c r="L333" i="7"/>
  <c r="P332" i="7"/>
  <c r="O332" i="7"/>
  <c r="N332" i="7"/>
  <c r="M332" i="7"/>
  <c r="L332" i="7"/>
  <c r="P331" i="7"/>
  <c r="O331" i="7"/>
  <c r="N331" i="7"/>
  <c r="M331" i="7"/>
  <c r="L331" i="7"/>
  <c r="P330" i="7"/>
  <c r="O330" i="7"/>
  <c r="N330" i="7"/>
  <c r="M330" i="7"/>
  <c r="L330" i="7"/>
  <c r="P329" i="7"/>
  <c r="O329" i="7"/>
  <c r="N329" i="7"/>
  <c r="M329" i="7"/>
  <c r="L329" i="7"/>
  <c r="P328" i="7"/>
  <c r="O328" i="7"/>
  <c r="N328" i="7"/>
  <c r="M328" i="7"/>
  <c r="L328" i="7"/>
  <c r="P327" i="7"/>
  <c r="O327" i="7"/>
  <c r="N327" i="7"/>
  <c r="M327" i="7"/>
  <c r="L327" i="7"/>
  <c r="P326" i="7"/>
  <c r="O326" i="7"/>
  <c r="N326" i="7"/>
  <c r="M326" i="7"/>
  <c r="L326" i="7"/>
  <c r="P325" i="7"/>
  <c r="O325" i="7"/>
  <c r="N325" i="7"/>
  <c r="M325" i="7"/>
  <c r="L325" i="7"/>
  <c r="P324" i="7"/>
  <c r="O324" i="7"/>
  <c r="N324" i="7"/>
  <c r="M324" i="7"/>
  <c r="L324" i="7"/>
  <c r="P323" i="7"/>
  <c r="O323" i="7"/>
  <c r="N323" i="7"/>
  <c r="M323" i="7"/>
  <c r="L323" i="7"/>
  <c r="P322" i="7"/>
  <c r="O322" i="7"/>
  <c r="N322" i="7"/>
  <c r="M322" i="7"/>
  <c r="L322" i="7"/>
  <c r="P321" i="7"/>
  <c r="O321" i="7"/>
  <c r="N321" i="7"/>
  <c r="M321" i="7"/>
  <c r="L321" i="7"/>
  <c r="P320" i="7"/>
  <c r="O320" i="7"/>
  <c r="N320" i="7"/>
  <c r="M320" i="7"/>
  <c r="L320" i="7"/>
  <c r="P319" i="7"/>
  <c r="O319" i="7"/>
  <c r="N319" i="7"/>
  <c r="M319" i="7"/>
  <c r="L319" i="7"/>
  <c r="P318" i="7"/>
  <c r="O318" i="7"/>
  <c r="N318" i="7"/>
  <c r="M318" i="7"/>
  <c r="L318" i="7"/>
  <c r="P317" i="7"/>
  <c r="O317" i="7"/>
  <c r="N317" i="7"/>
  <c r="M317" i="7"/>
  <c r="L317" i="7"/>
  <c r="P316" i="7"/>
  <c r="O316" i="7"/>
  <c r="N316" i="7"/>
  <c r="M316" i="7"/>
  <c r="L316" i="7"/>
  <c r="P315" i="7"/>
  <c r="O315" i="7"/>
  <c r="N315" i="7"/>
  <c r="M315" i="7"/>
  <c r="L315" i="7"/>
  <c r="P314" i="7"/>
  <c r="O314" i="7"/>
  <c r="N314" i="7"/>
  <c r="M314" i="7"/>
  <c r="L314" i="7"/>
  <c r="P313" i="7"/>
  <c r="O313" i="7"/>
  <c r="N313" i="7"/>
  <c r="M313" i="7"/>
  <c r="L313" i="7"/>
  <c r="P312" i="7"/>
  <c r="O312" i="7"/>
  <c r="N312" i="7"/>
  <c r="M312" i="7"/>
  <c r="L312" i="7"/>
  <c r="P311" i="7"/>
  <c r="O311" i="7"/>
  <c r="N311" i="7"/>
  <c r="M311" i="7"/>
  <c r="L311" i="7"/>
  <c r="P310" i="7"/>
  <c r="O310" i="7"/>
  <c r="N310" i="7"/>
  <c r="M310" i="7"/>
  <c r="L310" i="7"/>
  <c r="P309" i="7"/>
  <c r="O309" i="7"/>
  <c r="N309" i="7"/>
  <c r="M309" i="7"/>
  <c r="L309" i="7"/>
  <c r="P308" i="7"/>
  <c r="O308" i="7"/>
  <c r="N308" i="7"/>
  <c r="M308" i="7"/>
  <c r="L308" i="7"/>
  <c r="P307" i="7"/>
  <c r="O307" i="7"/>
  <c r="N307" i="7"/>
  <c r="M307" i="7"/>
  <c r="L307" i="7"/>
  <c r="P306" i="7"/>
  <c r="O306" i="7"/>
  <c r="N306" i="7"/>
  <c r="M306" i="7"/>
  <c r="L306" i="7"/>
  <c r="P305" i="7"/>
  <c r="O305" i="7"/>
  <c r="N305" i="7"/>
  <c r="M305" i="7"/>
  <c r="L305" i="7"/>
  <c r="P304" i="7"/>
  <c r="O304" i="7"/>
  <c r="N304" i="7"/>
  <c r="M304" i="7"/>
  <c r="L304" i="7"/>
  <c r="P303" i="7"/>
  <c r="O303" i="7"/>
  <c r="N303" i="7"/>
  <c r="M303" i="7"/>
  <c r="L303" i="7"/>
  <c r="P302" i="7"/>
  <c r="O302" i="7"/>
  <c r="N302" i="7"/>
  <c r="M302" i="7"/>
  <c r="L302" i="7"/>
  <c r="P301" i="7"/>
  <c r="O301" i="7"/>
  <c r="N301" i="7"/>
  <c r="M301" i="7"/>
  <c r="L301" i="7"/>
  <c r="P300" i="7"/>
  <c r="O300" i="7"/>
  <c r="N300" i="7"/>
  <c r="M300" i="7"/>
  <c r="L300" i="7"/>
  <c r="P299" i="7"/>
  <c r="O299" i="7"/>
  <c r="N299" i="7"/>
  <c r="M299" i="7"/>
  <c r="L299" i="7"/>
  <c r="P298" i="7"/>
  <c r="O298" i="7"/>
  <c r="N298" i="7"/>
  <c r="M298" i="7"/>
  <c r="L298" i="7"/>
  <c r="P297" i="7"/>
  <c r="O297" i="7"/>
  <c r="N297" i="7"/>
  <c r="M297" i="7"/>
  <c r="L297" i="7"/>
  <c r="P296" i="7"/>
  <c r="O296" i="7"/>
  <c r="N296" i="7"/>
  <c r="M296" i="7"/>
  <c r="L296" i="7"/>
  <c r="P295" i="7"/>
  <c r="O295" i="7"/>
  <c r="N295" i="7"/>
  <c r="M295" i="7"/>
  <c r="L295" i="7"/>
  <c r="P294" i="7"/>
  <c r="O294" i="7"/>
  <c r="N294" i="7"/>
  <c r="M294" i="7"/>
  <c r="L294" i="7"/>
  <c r="P293" i="7"/>
  <c r="O293" i="7"/>
  <c r="N293" i="7"/>
  <c r="M293" i="7"/>
  <c r="L293" i="7"/>
  <c r="P292" i="7"/>
  <c r="O292" i="7"/>
  <c r="N292" i="7"/>
  <c r="M292" i="7"/>
  <c r="L292" i="7"/>
  <c r="P291" i="7"/>
  <c r="O291" i="7"/>
  <c r="N291" i="7"/>
  <c r="M291" i="7"/>
  <c r="L291" i="7"/>
  <c r="P290" i="7"/>
  <c r="O290" i="7"/>
  <c r="N290" i="7"/>
  <c r="M290" i="7"/>
  <c r="L290" i="7"/>
  <c r="P289" i="7"/>
  <c r="O289" i="7"/>
  <c r="N289" i="7"/>
  <c r="M289" i="7"/>
  <c r="L289" i="7"/>
  <c r="P288" i="7"/>
  <c r="O288" i="7"/>
  <c r="N288" i="7"/>
  <c r="M288" i="7"/>
  <c r="L288" i="7"/>
  <c r="P287" i="7"/>
  <c r="O287" i="7"/>
  <c r="N287" i="7"/>
  <c r="M287" i="7"/>
  <c r="L287" i="7"/>
  <c r="P286" i="7"/>
  <c r="O286" i="7"/>
  <c r="N286" i="7"/>
  <c r="M286" i="7"/>
  <c r="L286" i="7"/>
  <c r="P285" i="7"/>
  <c r="O285" i="7"/>
  <c r="N285" i="7"/>
  <c r="M285" i="7"/>
  <c r="L285" i="7"/>
  <c r="P284" i="7"/>
  <c r="O284" i="7"/>
  <c r="N284" i="7"/>
  <c r="M284" i="7"/>
  <c r="L284" i="7"/>
  <c r="P283" i="7"/>
  <c r="O283" i="7"/>
  <c r="N283" i="7"/>
  <c r="M283" i="7"/>
  <c r="L283" i="7"/>
  <c r="P282" i="7"/>
  <c r="O282" i="7"/>
  <c r="N282" i="7"/>
  <c r="M282" i="7"/>
  <c r="L282" i="7"/>
  <c r="P281" i="7"/>
  <c r="O281" i="7"/>
  <c r="N281" i="7"/>
  <c r="M281" i="7"/>
  <c r="L281" i="7"/>
  <c r="P280" i="7"/>
  <c r="O280" i="7"/>
  <c r="N280" i="7"/>
  <c r="M280" i="7"/>
  <c r="L280" i="7"/>
  <c r="P279" i="7"/>
  <c r="O279" i="7"/>
  <c r="N279" i="7"/>
  <c r="M279" i="7"/>
  <c r="L279" i="7"/>
  <c r="P278" i="7"/>
  <c r="O278" i="7"/>
  <c r="N278" i="7"/>
  <c r="M278" i="7"/>
  <c r="L278" i="7"/>
  <c r="P277" i="7"/>
  <c r="O277" i="7"/>
  <c r="N277" i="7"/>
  <c r="M277" i="7"/>
  <c r="L277" i="7"/>
  <c r="P276" i="7"/>
  <c r="O276" i="7"/>
  <c r="N276" i="7"/>
  <c r="M276" i="7"/>
  <c r="L276" i="7"/>
  <c r="P275" i="7"/>
  <c r="O275" i="7"/>
  <c r="N275" i="7"/>
  <c r="M275" i="7"/>
  <c r="L275" i="7"/>
  <c r="P274" i="7"/>
  <c r="O274" i="7"/>
  <c r="N274" i="7"/>
  <c r="M274" i="7"/>
  <c r="L274" i="7"/>
  <c r="P273" i="7"/>
  <c r="O273" i="7"/>
  <c r="N273" i="7"/>
  <c r="M273" i="7"/>
  <c r="L273" i="7"/>
  <c r="P272" i="7"/>
  <c r="O272" i="7"/>
  <c r="N272" i="7"/>
  <c r="M272" i="7"/>
  <c r="L272" i="7"/>
  <c r="P271" i="7"/>
  <c r="O271" i="7"/>
  <c r="N271" i="7"/>
  <c r="M271" i="7"/>
  <c r="L271" i="7"/>
  <c r="P270" i="7"/>
  <c r="O270" i="7"/>
  <c r="N270" i="7"/>
  <c r="M270" i="7"/>
  <c r="L270" i="7"/>
  <c r="P269" i="7"/>
  <c r="O269" i="7"/>
  <c r="N269" i="7"/>
  <c r="M269" i="7"/>
  <c r="L269" i="7"/>
  <c r="P268" i="7"/>
  <c r="O268" i="7"/>
  <c r="N268" i="7"/>
  <c r="M268" i="7"/>
  <c r="L268" i="7"/>
  <c r="P267" i="7"/>
  <c r="O267" i="7"/>
  <c r="N267" i="7"/>
  <c r="M267" i="7"/>
  <c r="L267" i="7"/>
  <c r="P266" i="7"/>
  <c r="O266" i="7"/>
  <c r="N266" i="7"/>
  <c r="M266" i="7"/>
  <c r="L266" i="7"/>
  <c r="P265" i="7"/>
  <c r="O265" i="7"/>
  <c r="N265" i="7"/>
  <c r="M265" i="7"/>
  <c r="L265" i="7"/>
  <c r="P264" i="7"/>
  <c r="O264" i="7"/>
  <c r="N264" i="7"/>
  <c r="M264" i="7"/>
  <c r="L264" i="7"/>
  <c r="P263" i="7"/>
  <c r="O263" i="7"/>
  <c r="N263" i="7"/>
  <c r="M263" i="7"/>
  <c r="L263" i="7"/>
  <c r="P262" i="7"/>
  <c r="O262" i="7"/>
  <c r="N262" i="7"/>
  <c r="M262" i="7"/>
  <c r="L262" i="7"/>
  <c r="P261" i="7"/>
  <c r="O261" i="7"/>
  <c r="N261" i="7"/>
  <c r="M261" i="7"/>
  <c r="L261" i="7"/>
  <c r="P260" i="7"/>
  <c r="O260" i="7"/>
  <c r="N260" i="7"/>
  <c r="M260" i="7"/>
  <c r="L260" i="7"/>
  <c r="P259" i="7"/>
  <c r="O259" i="7"/>
  <c r="N259" i="7"/>
  <c r="M259" i="7"/>
  <c r="L259" i="7"/>
  <c r="P258" i="7"/>
  <c r="O258" i="7"/>
  <c r="N258" i="7"/>
  <c r="M258" i="7"/>
  <c r="L258" i="7"/>
  <c r="P257" i="7"/>
  <c r="O257" i="7"/>
  <c r="N257" i="7"/>
  <c r="M257" i="7"/>
  <c r="L257" i="7"/>
  <c r="P256" i="7"/>
  <c r="O256" i="7"/>
  <c r="N256" i="7"/>
  <c r="M256" i="7"/>
  <c r="L256" i="7"/>
  <c r="P255" i="7"/>
  <c r="O255" i="7"/>
  <c r="N255" i="7"/>
  <c r="M255" i="7"/>
  <c r="L255" i="7"/>
  <c r="P254" i="7"/>
  <c r="O254" i="7"/>
  <c r="N254" i="7"/>
  <c r="M254" i="7"/>
  <c r="L254" i="7"/>
  <c r="P253" i="7"/>
  <c r="O253" i="7"/>
  <c r="N253" i="7"/>
  <c r="M253" i="7"/>
  <c r="L253" i="7"/>
  <c r="P252" i="7"/>
  <c r="O252" i="7"/>
  <c r="N252" i="7"/>
  <c r="M252" i="7"/>
  <c r="L252" i="7"/>
  <c r="P251" i="7"/>
  <c r="O251" i="7"/>
  <c r="N251" i="7"/>
  <c r="M251" i="7"/>
  <c r="L251" i="7"/>
  <c r="P250" i="7"/>
  <c r="O250" i="7"/>
  <c r="N250" i="7"/>
  <c r="M250" i="7"/>
  <c r="L250" i="7"/>
  <c r="P249" i="7"/>
  <c r="O249" i="7"/>
  <c r="N249" i="7"/>
  <c r="M249" i="7"/>
  <c r="L249" i="7"/>
  <c r="P248" i="7"/>
  <c r="O248" i="7"/>
  <c r="N248" i="7"/>
  <c r="M248" i="7"/>
  <c r="L248" i="7"/>
  <c r="P247" i="7"/>
  <c r="O247" i="7"/>
  <c r="N247" i="7"/>
  <c r="M247" i="7"/>
  <c r="L247" i="7"/>
  <c r="P246" i="7"/>
  <c r="O246" i="7"/>
  <c r="N246" i="7"/>
  <c r="M246" i="7"/>
  <c r="L246" i="7"/>
  <c r="P245" i="7"/>
  <c r="O245" i="7"/>
  <c r="N245" i="7"/>
  <c r="M245" i="7"/>
  <c r="L245" i="7"/>
  <c r="P244" i="7"/>
  <c r="O244" i="7"/>
  <c r="N244" i="7"/>
  <c r="M244" i="7"/>
  <c r="L244" i="7"/>
  <c r="P243" i="7"/>
  <c r="O243" i="7"/>
  <c r="N243" i="7"/>
  <c r="M243" i="7"/>
  <c r="L243" i="7"/>
  <c r="P242" i="7"/>
  <c r="O242" i="7"/>
  <c r="N242" i="7"/>
  <c r="M242" i="7"/>
  <c r="L242" i="7"/>
  <c r="P241" i="7"/>
  <c r="O241" i="7"/>
  <c r="N241" i="7"/>
  <c r="M241" i="7"/>
  <c r="L241" i="7"/>
  <c r="P240" i="7"/>
  <c r="O240" i="7"/>
  <c r="N240" i="7"/>
  <c r="M240" i="7"/>
  <c r="L240" i="7"/>
  <c r="P239" i="7"/>
  <c r="O239" i="7"/>
  <c r="N239" i="7"/>
  <c r="M239" i="7"/>
  <c r="L239" i="7"/>
  <c r="P238" i="7"/>
  <c r="O238" i="7"/>
  <c r="N238" i="7"/>
  <c r="M238" i="7"/>
  <c r="L238" i="7"/>
  <c r="P237" i="7"/>
  <c r="O237" i="7"/>
  <c r="N237" i="7"/>
  <c r="M237" i="7"/>
  <c r="L237" i="7"/>
  <c r="P236" i="7"/>
  <c r="O236" i="7"/>
  <c r="N236" i="7"/>
  <c r="M236" i="7"/>
  <c r="L236" i="7"/>
  <c r="P235" i="7"/>
  <c r="O235" i="7"/>
  <c r="N235" i="7"/>
  <c r="M235" i="7"/>
  <c r="L235" i="7"/>
  <c r="P234" i="7"/>
  <c r="O234" i="7"/>
  <c r="N234" i="7"/>
  <c r="M234" i="7"/>
  <c r="L234" i="7"/>
  <c r="P233" i="7"/>
  <c r="O233" i="7"/>
  <c r="N233" i="7"/>
  <c r="M233" i="7"/>
  <c r="L233" i="7"/>
  <c r="P232" i="7"/>
  <c r="O232" i="7"/>
  <c r="N232" i="7"/>
  <c r="M232" i="7"/>
  <c r="L232" i="7"/>
  <c r="P231" i="7"/>
  <c r="O231" i="7"/>
  <c r="N231" i="7"/>
  <c r="M231" i="7"/>
  <c r="L231" i="7"/>
  <c r="P230" i="7"/>
  <c r="O230" i="7"/>
  <c r="N230" i="7"/>
  <c r="M230" i="7"/>
  <c r="L230" i="7"/>
  <c r="P229" i="7"/>
  <c r="O229" i="7"/>
  <c r="N229" i="7"/>
  <c r="M229" i="7"/>
  <c r="L229" i="7"/>
  <c r="P228" i="7"/>
  <c r="O228" i="7"/>
  <c r="N228" i="7"/>
  <c r="M228" i="7"/>
  <c r="L228" i="7"/>
  <c r="P227" i="7"/>
  <c r="O227" i="7"/>
  <c r="N227" i="7"/>
  <c r="M227" i="7"/>
  <c r="L227" i="7"/>
  <c r="P226" i="7"/>
  <c r="O226" i="7"/>
  <c r="N226" i="7"/>
  <c r="M226" i="7"/>
  <c r="L226" i="7"/>
  <c r="P225" i="7"/>
  <c r="O225" i="7"/>
  <c r="N225" i="7"/>
  <c r="M225" i="7"/>
  <c r="L225" i="7"/>
  <c r="P224" i="7"/>
  <c r="O224" i="7"/>
  <c r="N224" i="7"/>
  <c r="M224" i="7"/>
  <c r="L224" i="7"/>
  <c r="P223" i="7"/>
  <c r="O223" i="7"/>
  <c r="N223" i="7"/>
  <c r="M223" i="7"/>
  <c r="L223" i="7"/>
  <c r="P222" i="7"/>
  <c r="O222" i="7"/>
  <c r="N222" i="7"/>
  <c r="M222" i="7"/>
  <c r="L222" i="7"/>
  <c r="P221" i="7"/>
  <c r="O221" i="7"/>
  <c r="N221" i="7"/>
  <c r="M221" i="7"/>
  <c r="L221" i="7"/>
  <c r="P220" i="7"/>
  <c r="O220" i="7"/>
  <c r="N220" i="7"/>
  <c r="M220" i="7"/>
  <c r="L220" i="7"/>
  <c r="P219" i="7"/>
  <c r="O219" i="7"/>
  <c r="N219" i="7"/>
  <c r="M219" i="7"/>
  <c r="L219" i="7"/>
  <c r="P218" i="7"/>
  <c r="O218" i="7"/>
  <c r="N218" i="7"/>
  <c r="M218" i="7"/>
  <c r="L218" i="7"/>
  <c r="P217" i="7"/>
  <c r="O217" i="7"/>
  <c r="N217" i="7"/>
  <c r="M217" i="7"/>
  <c r="L217" i="7"/>
  <c r="P216" i="7"/>
  <c r="O216" i="7"/>
  <c r="N216" i="7"/>
  <c r="M216" i="7"/>
  <c r="L216" i="7"/>
  <c r="P215" i="7"/>
  <c r="O215" i="7"/>
  <c r="N215" i="7"/>
  <c r="M215" i="7"/>
  <c r="L215" i="7"/>
  <c r="P214" i="7"/>
  <c r="O214" i="7"/>
  <c r="N214" i="7"/>
  <c r="M214" i="7"/>
  <c r="L214" i="7"/>
  <c r="P213" i="7"/>
  <c r="O213" i="7"/>
  <c r="N213" i="7"/>
  <c r="M213" i="7"/>
  <c r="L213" i="7"/>
  <c r="P212" i="7"/>
  <c r="O212" i="7"/>
  <c r="N212" i="7"/>
  <c r="M212" i="7"/>
  <c r="L212" i="7"/>
  <c r="P211" i="7"/>
  <c r="O211" i="7"/>
  <c r="N211" i="7"/>
  <c r="M211" i="7"/>
  <c r="L211" i="7"/>
  <c r="P210" i="7"/>
  <c r="O210" i="7"/>
  <c r="N210" i="7"/>
  <c r="M210" i="7"/>
  <c r="L210" i="7"/>
  <c r="P209" i="7"/>
  <c r="O209" i="7"/>
  <c r="N209" i="7"/>
  <c r="M209" i="7"/>
  <c r="L209" i="7"/>
  <c r="P208" i="7"/>
  <c r="O208" i="7"/>
  <c r="N208" i="7"/>
  <c r="M208" i="7"/>
  <c r="L208" i="7"/>
  <c r="P207" i="7"/>
  <c r="O207" i="7"/>
  <c r="N207" i="7"/>
  <c r="M207" i="7"/>
  <c r="L207" i="7"/>
  <c r="P206" i="7"/>
  <c r="O206" i="7"/>
  <c r="N206" i="7"/>
  <c r="M206" i="7"/>
  <c r="L206" i="7"/>
  <c r="P205" i="7"/>
  <c r="O205" i="7"/>
  <c r="N205" i="7"/>
  <c r="M205" i="7"/>
  <c r="L205" i="7"/>
  <c r="P204" i="7"/>
  <c r="O204" i="7"/>
  <c r="N204" i="7"/>
  <c r="M204" i="7"/>
  <c r="L204" i="7"/>
  <c r="P203" i="7"/>
  <c r="O203" i="7"/>
  <c r="N203" i="7"/>
  <c r="M203" i="7"/>
  <c r="L203" i="7"/>
  <c r="P202" i="7"/>
  <c r="O202" i="7"/>
  <c r="N202" i="7"/>
  <c r="M202" i="7"/>
  <c r="L202" i="7"/>
  <c r="P201" i="7"/>
  <c r="O201" i="7"/>
  <c r="N201" i="7"/>
  <c r="M201" i="7"/>
  <c r="L201" i="7"/>
  <c r="P200" i="7"/>
  <c r="O200" i="7"/>
  <c r="N200" i="7"/>
  <c r="M200" i="7"/>
  <c r="L200" i="7"/>
  <c r="P199" i="7"/>
  <c r="O199" i="7"/>
  <c r="N199" i="7"/>
  <c r="M199" i="7"/>
  <c r="L199" i="7"/>
  <c r="P198" i="7"/>
  <c r="O198" i="7"/>
  <c r="N198" i="7"/>
  <c r="M198" i="7"/>
  <c r="L198" i="7"/>
  <c r="P197" i="7"/>
  <c r="O197" i="7"/>
  <c r="N197" i="7"/>
  <c r="M197" i="7"/>
  <c r="L197" i="7"/>
  <c r="P196" i="7"/>
  <c r="O196" i="7"/>
  <c r="N196" i="7"/>
  <c r="M196" i="7"/>
  <c r="L196" i="7"/>
  <c r="P195" i="7"/>
  <c r="O195" i="7"/>
  <c r="N195" i="7"/>
  <c r="M195" i="7"/>
  <c r="L195" i="7"/>
  <c r="P194" i="7"/>
  <c r="O194" i="7"/>
  <c r="N194" i="7"/>
  <c r="M194" i="7"/>
  <c r="L194" i="7"/>
  <c r="P193" i="7"/>
  <c r="O193" i="7"/>
  <c r="N193" i="7"/>
  <c r="M193" i="7"/>
  <c r="L193" i="7"/>
  <c r="P192" i="7"/>
  <c r="O192" i="7"/>
  <c r="N192" i="7"/>
  <c r="M192" i="7"/>
  <c r="L192" i="7"/>
  <c r="P191" i="7"/>
  <c r="O191" i="7"/>
  <c r="N191" i="7"/>
  <c r="M191" i="7"/>
  <c r="L191" i="7"/>
  <c r="P190" i="7"/>
  <c r="O190" i="7"/>
  <c r="N190" i="7"/>
  <c r="M190" i="7"/>
  <c r="L190" i="7"/>
  <c r="P189" i="7"/>
  <c r="O189" i="7"/>
  <c r="N189" i="7"/>
  <c r="M189" i="7"/>
  <c r="L189" i="7"/>
  <c r="P188" i="7"/>
  <c r="O188" i="7"/>
  <c r="N188" i="7"/>
  <c r="M188" i="7"/>
  <c r="L188" i="7"/>
  <c r="P187" i="7"/>
  <c r="O187" i="7"/>
  <c r="N187" i="7"/>
  <c r="M187" i="7"/>
  <c r="L187" i="7"/>
  <c r="P186" i="7"/>
  <c r="O186" i="7"/>
  <c r="N186" i="7"/>
  <c r="M186" i="7"/>
  <c r="L186" i="7"/>
  <c r="P185" i="7"/>
  <c r="O185" i="7"/>
  <c r="N185" i="7"/>
  <c r="M185" i="7"/>
  <c r="L185" i="7"/>
  <c r="P184" i="7"/>
  <c r="O184" i="7"/>
  <c r="N184" i="7"/>
  <c r="M184" i="7"/>
  <c r="L184" i="7"/>
  <c r="P183" i="7"/>
  <c r="O183" i="7"/>
  <c r="N183" i="7"/>
  <c r="M183" i="7"/>
  <c r="L183" i="7"/>
  <c r="P182" i="7"/>
  <c r="O182" i="7"/>
  <c r="N182" i="7"/>
  <c r="M182" i="7"/>
  <c r="L182" i="7"/>
  <c r="P181" i="7"/>
  <c r="O181" i="7"/>
  <c r="N181" i="7"/>
  <c r="M181" i="7"/>
  <c r="L181" i="7"/>
  <c r="P180" i="7"/>
  <c r="O180" i="7"/>
  <c r="N180" i="7"/>
  <c r="M180" i="7"/>
  <c r="L180" i="7"/>
  <c r="P179" i="7"/>
  <c r="O179" i="7"/>
  <c r="N179" i="7"/>
  <c r="M179" i="7"/>
  <c r="L179" i="7"/>
  <c r="P178" i="7"/>
  <c r="O178" i="7"/>
  <c r="N178" i="7"/>
  <c r="M178" i="7"/>
  <c r="L178" i="7"/>
  <c r="P177" i="7"/>
  <c r="O177" i="7"/>
  <c r="N177" i="7"/>
  <c r="M177" i="7"/>
  <c r="L177" i="7"/>
  <c r="P176" i="7"/>
  <c r="O176" i="7"/>
  <c r="N176" i="7"/>
  <c r="M176" i="7"/>
  <c r="L176" i="7"/>
  <c r="P175" i="7"/>
  <c r="O175" i="7"/>
  <c r="N175" i="7"/>
  <c r="M175" i="7"/>
  <c r="L175" i="7"/>
  <c r="P174" i="7"/>
  <c r="O174" i="7"/>
  <c r="N174" i="7"/>
  <c r="M174" i="7"/>
  <c r="L174" i="7"/>
  <c r="P173" i="7"/>
  <c r="O173" i="7"/>
  <c r="N173" i="7"/>
  <c r="M173" i="7"/>
  <c r="L173" i="7"/>
  <c r="P172" i="7"/>
  <c r="O172" i="7"/>
  <c r="N172" i="7"/>
  <c r="M172" i="7"/>
  <c r="L172" i="7"/>
  <c r="P171" i="7"/>
  <c r="O171" i="7"/>
  <c r="N171" i="7"/>
  <c r="M171" i="7"/>
  <c r="L171" i="7"/>
  <c r="P170" i="7"/>
  <c r="O170" i="7"/>
  <c r="N170" i="7"/>
  <c r="M170" i="7"/>
  <c r="L170" i="7"/>
  <c r="P169" i="7"/>
  <c r="O169" i="7"/>
  <c r="N169" i="7"/>
  <c r="M169" i="7"/>
  <c r="L169" i="7"/>
  <c r="P168" i="7"/>
  <c r="O168" i="7"/>
  <c r="N168" i="7"/>
  <c r="M168" i="7"/>
  <c r="L168" i="7"/>
  <c r="P167" i="7"/>
  <c r="O167" i="7"/>
  <c r="N167" i="7"/>
  <c r="M167" i="7"/>
  <c r="L167" i="7"/>
  <c r="P166" i="7"/>
  <c r="O166" i="7"/>
  <c r="N166" i="7"/>
  <c r="M166" i="7"/>
  <c r="L166" i="7"/>
  <c r="P165" i="7"/>
  <c r="O165" i="7"/>
  <c r="N165" i="7"/>
  <c r="M165" i="7"/>
  <c r="L165" i="7"/>
  <c r="P164" i="7"/>
  <c r="O164" i="7"/>
  <c r="N164" i="7"/>
  <c r="M164" i="7"/>
  <c r="L164" i="7"/>
  <c r="P163" i="7"/>
  <c r="O163" i="7"/>
  <c r="N163" i="7"/>
  <c r="M163" i="7"/>
  <c r="L163" i="7"/>
  <c r="P162" i="7"/>
  <c r="O162" i="7"/>
  <c r="N162" i="7"/>
  <c r="M162" i="7"/>
  <c r="L162" i="7"/>
  <c r="P161" i="7"/>
  <c r="O161" i="7"/>
  <c r="N161" i="7"/>
  <c r="M161" i="7"/>
  <c r="L161" i="7"/>
  <c r="P160" i="7"/>
  <c r="O160" i="7"/>
  <c r="N160" i="7"/>
  <c r="M160" i="7"/>
  <c r="L160" i="7"/>
  <c r="P159" i="7"/>
  <c r="O159" i="7"/>
  <c r="N159" i="7"/>
  <c r="M159" i="7"/>
  <c r="L159" i="7"/>
  <c r="P158" i="7"/>
  <c r="O158" i="7"/>
  <c r="N158" i="7"/>
  <c r="M158" i="7"/>
  <c r="L158" i="7"/>
  <c r="P157" i="7"/>
  <c r="O157" i="7"/>
  <c r="N157" i="7"/>
  <c r="M157" i="7"/>
  <c r="L157" i="7"/>
  <c r="P156" i="7"/>
  <c r="O156" i="7"/>
  <c r="N156" i="7"/>
  <c r="M156" i="7"/>
  <c r="L156" i="7"/>
  <c r="P155" i="7"/>
  <c r="O155" i="7"/>
  <c r="N155" i="7"/>
  <c r="M155" i="7"/>
  <c r="L155" i="7"/>
  <c r="P154" i="7"/>
  <c r="O154" i="7"/>
  <c r="N154" i="7"/>
  <c r="M154" i="7"/>
  <c r="L154" i="7"/>
  <c r="P153" i="7"/>
  <c r="O153" i="7"/>
  <c r="N153" i="7"/>
  <c r="M153" i="7"/>
  <c r="L153" i="7"/>
  <c r="P152" i="7"/>
  <c r="O152" i="7"/>
  <c r="N152" i="7"/>
  <c r="M152" i="7"/>
  <c r="L152" i="7"/>
  <c r="P151" i="7"/>
  <c r="O151" i="7"/>
  <c r="N151" i="7"/>
  <c r="M151" i="7"/>
  <c r="L151" i="7"/>
  <c r="P150" i="7"/>
  <c r="O150" i="7"/>
  <c r="N150" i="7"/>
  <c r="M150" i="7"/>
  <c r="L150" i="7"/>
  <c r="P149" i="7"/>
  <c r="O149" i="7"/>
  <c r="N149" i="7"/>
  <c r="M149" i="7"/>
  <c r="L149" i="7"/>
  <c r="P148" i="7"/>
  <c r="O148" i="7"/>
  <c r="N148" i="7"/>
  <c r="M148" i="7"/>
  <c r="L148" i="7"/>
  <c r="P147" i="7"/>
  <c r="O147" i="7"/>
  <c r="N147" i="7"/>
  <c r="M147" i="7"/>
  <c r="L147" i="7"/>
  <c r="P146" i="7"/>
  <c r="O146" i="7"/>
  <c r="N146" i="7"/>
  <c r="M146" i="7"/>
  <c r="L146" i="7"/>
  <c r="P145" i="7"/>
  <c r="O145" i="7"/>
  <c r="N145" i="7"/>
  <c r="M145" i="7"/>
  <c r="L145" i="7"/>
  <c r="P144" i="7"/>
  <c r="O144" i="7"/>
  <c r="N144" i="7"/>
  <c r="M144" i="7"/>
  <c r="L144" i="7"/>
  <c r="P143" i="7"/>
  <c r="O143" i="7"/>
  <c r="N143" i="7"/>
  <c r="M143" i="7"/>
  <c r="L143" i="7"/>
  <c r="P142" i="7"/>
  <c r="O142" i="7"/>
  <c r="N142" i="7"/>
  <c r="M142" i="7"/>
  <c r="L142" i="7"/>
  <c r="P141" i="7"/>
  <c r="O141" i="7"/>
  <c r="N141" i="7"/>
  <c r="M141" i="7"/>
  <c r="L141" i="7"/>
  <c r="P140" i="7"/>
  <c r="O140" i="7"/>
  <c r="N140" i="7"/>
  <c r="M140" i="7"/>
  <c r="L140" i="7"/>
  <c r="P139" i="7"/>
  <c r="O139" i="7"/>
  <c r="N139" i="7"/>
  <c r="M139" i="7"/>
  <c r="L139" i="7"/>
  <c r="P138" i="7"/>
  <c r="O138" i="7"/>
  <c r="N138" i="7"/>
  <c r="M138" i="7"/>
  <c r="L138" i="7"/>
  <c r="P137" i="7"/>
  <c r="O137" i="7"/>
  <c r="N137" i="7"/>
  <c r="M137" i="7"/>
  <c r="L137" i="7"/>
  <c r="P136" i="7"/>
  <c r="O136" i="7"/>
  <c r="N136" i="7"/>
  <c r="M136" i="7"/>
  <c r="L136" i="7"/>
  <c r="P135" i="7"/>
  <c r="O135" i="7"/>
  <c r="N135" i="7"/>
  <c r="M135" i="7"/>
  <c r="L135" i="7"/>
  <c r="P134" i="7"/>
  <c r="O134" i="7"/>
  <c r="N134" i="7"/>
  <c r="M134" i="7"/>
  <c r="L134" i="7"/>
  <c r="P133" i="7"/>
  <c r="O133" i="7"/>
  <c r="N133" i="7"/>
  <c r="M133" i="7"/>
  <c r="L133" i="7"/>
  <c r="P132" i="7"/>
  <c r="O132" i="7"/>
  <c r="N132" i="7"/>
  <c r="M132" i="7"/>
  <c r="L132" i="7"/>
  <c r="P131" i="7"/>
  <c r="O131" i="7"/>
  <c r="N131" i="7"/>
  <c r="M131" i="7"/>
  <c r="L131" i="7"/>
  <c r="P130" i="7"/>
  <c r="O130" i="7"/>
  <c r="N130" i="7"/>
  <c r="M130" i="7"/>
  <c r="L130" i="7"/>
  <c r="P129" i="7"/>
  <c r="O129" i="7"/>
  <c r="N129" i="7"/>
  <c r="M129" i="7"/>
  <c r="L129" i="7"/>
  <c r="P128" i="7"/>
  <c r="O128" i="7"/>
  <c r="N128" i="7"/>
  <c r="M128" i="7"/>
  <c r="L128" i="7"/>
  <c r="P127" i="7"/>
  <c r="O127" i="7"/>
  <c r="N127" i="7"/>
  <c r="M127" i="7"/>
  <c r="L127" i="7"/>
  <c r="P126" i="7"/>
  <c r="O126" i="7"/>
  <c r="N126" i="7"/>
  <c r="M126" i="7"/>
  <c r="L126" i="7"/>
  <c r="P125" i="7"/>
  <c r="O125" i="7"/>
  <c r="N125" i="7"/>
  <c r="M125" i="7"/>
  <c r="L125" i="7"/>
  <c r="P124" i="7"/>
  <c r="O124" i="7"/>
  <c r="N124" i="7"/>
  <c r="M124" i="7"/>
  <c r="L124" i="7"/>
  <c r="P123" i="7"/>
  <c r="O123" i="7"/>
  <c r="N123" i="7"/>
  <c r="M123" i="7"/>
  <c r="L123" i="7"/>
  <c r="P122" i="7"/>
  <c r="O122" i="7"/>
  <c r="N122" i="7"/>
  <c r="M122" i="7"/>
  <c r="L122" i="7"/>
  <c r="P121" i="7"/>
  <c r="O121" i="7"/>
  <c r="N121" i="7"/>
  <c r="M121" i="7"/>
  <c r="L121" i="7"/>
  <c r="P120" i="7"/>
  <c r="O120" i="7"/>
  <c r="N120" i="7"/>
  <c r="M120" i="7"/>
  <c r="L120" i="7"/>
  <c r="P119" i="7"/>
  <c r="O119" i="7"/>
  <c r="N119" i="7"/>
  <c r="M119" i="7"/>
  <c r="L119" i="7"/>
  <c r="P118" i="7"/>
  <c r="O118" i="7"/>
  <c r="N118" i="7"/>
  <c r="M118" i="7"/>
  <c r="L118" i="7"/>
  <c r="P117" i="7"/>
  <c r="O117" i="7"/>
  <c r="N117" i="7"/>
  <c r="M117" i="7"/>
  <c r="L117" i="7"/>
  <c r="P116" i="7"/>
  <c r="O116" i="7"/>
  <c r="N116" i="7"/>
  <c r="M116" i="7"/>
  <c r="L116" i="7"/>
  <c r="P115" i="7"/>
  <c r="O115" i="7"/>
  <c r="N115" i="7"/>
  <c r="M115" i="7"/>
  <c r="L115" i="7"/>
  <c r="P114" i="7"/>
  <c r="O114" i="7"/>
  <c r="N114" i="7"/>
  <c r="M114" i="7"/>
  <c r="L114" i="7"/>
  <c r="P113" i="7"/>
  <c r="O113" i="7"/>
  <c r="N113" i="7"/>
  <c r="M113" i="7"/>
  <c r="L113" i="7"/>
  <c r="P112" i="7"/>
  <c r="O112" i="7"/>
  <c r="N112" i="7"/>
  <c r="M112" i="7"/>
  <c r="L112" i="7"/>
  <c r="P111" i="7"/>
  <c r="O111" i="7"/>
  <c r="N111" i="7"/>
  <c r="M111" i="7"/>
  <c r="L111" i="7"/>
  <c r="P110" i="7"/>
  <c r="O110" i="7"/>
  <c r="N110" i="7"/>
  <c r="M110" i="7"/>
  <c r="L110" i="7"/>
  <c r="P109" i="7"/>
  <c r="O109" i="7"/>
  <c r="N109" i="7"/>
  <c r="M109" i="7"/>
  <c r="L109" i="7"/>
  <c r="P108" i="7"/>
  <c r="O108" i="7"/>
  <c r="N108" i="7"/>
  <c r="M108" i="7"/>
  <c r="L108" i="7"/>
  <c r="P107" i="7"/>
  <c r="O107" i="7"/>
  <c r="N107" i="7"/>
  <c r="M107" i="7"/>
  <c r="L107" i="7"/>
  <c r="P106" i="7"/>
  <c r="O106" i="7"/>
  <c r="N106" i="7"/>
  <c r="M106" i="7"/>
  <c r="L106" i="7"/>
  <c r="P105" i="7"/>
  <c r="O105" i="7"/>
  <c r="N105" i="7"/>
  <c r="M105" i="7"/>
  <c r="L105" i="7"/>
  <c r="P104" i="7"/>
  <c r="O104" i="7"/>
  <c r="N104" i="7"/>
  <c r="M104" i="7"/>
  <c r="L104" i="7"/>
  <c r="P103" i="7"/>
  <c r="O103" i="7"/>
  <c r="N103" i="7"/>
  <c r="M103" i="7"/>
  <c r="L103" i="7"/>
  <c r="P102" i="7"/>
  <c r="O102" i="7"/>
  <c r="N102" i="7"/>
  <c r="M102" i="7"/>
  <c r="L102" i="7"/>
  <c r="P101" i="7"/>
  <c r="O101" i="7"/>
  <c r="N101" i="7"/>
  <c r="M101" i="7"/>
  <c r="L101" i="7"/>
  <c r="P100" i="7"/>
  <c r="O100" i="7"/>
  <c r="N100" i="7"/>
  <c r="M100" i="7"/>
  <c r="L100" i="7"/>
  <c r="P99" i="7"/>
  <c r="O99" i="7"/>
  <c r="N99" i="7"/>
  <c r="M99" i="7"/>
  <c r="L99" i="7"/>
  <c r="P98" i="7"/>
  <c r="O98" i="7"/>
  <c r="N98" i="7"/>
  <c r="M98" i="7"/>
  <c r="L98" i="7"/>
  <c r="P97" i="7"/>
  <c r="O97" i="7"/>
  <c r="N97" i="7"/>
  <c r="M97" i="7"/>
  <c r="L97" i="7"/>
  <c r="P96" i="7"/>
  <c r="O96" i="7"/>
  <c r="N96" i="7"/>
  <c r="M96" i="7"/>
  <c r="L96" i="7"/>
  <c r="P95" i="7"/>
  <c r="O95" i="7"/>
  <c r="N95" i="7"/>
  <c r="M95" i="7"/>
  <c r="L95" i="7"/>
  <c r="P94" i="7"/>
  <c r="O94" i="7"/>
  <c r="N94" i="7"/>
  <c r="M94" i="7"/>
  <c r="L94" i="7"/>
  <c r="P93" i="7"/>
  <c r="O93" i="7"/>
  <c r="N93" i="7"/>
  <c r="M93" i="7"/>
  <c r="L93" i="7"/>
  <c r="P92" i="7"/>
  <c r="O92" i="7"/>
  <c r="N92" i="7"/>
  <c r="M92" i="7"/>
  <c r="L92" i="7"/>
  <c r="P91" i="7"/>
  <c r="O91" i="7"/>
  <c r="N91" i="7"/>
  <c r="M91" i="7"/>
  <c r="L91" i="7"/>
  <c r="P90" i="7"/>
  <c r="O90" i="7"/>
  <c r="N90" i="7"/>
  <c r="M90" i="7"/>
  <c r="L90" i="7"/>
  <c r="P89" i="7"/>
  <c r="O89" i="7"/>
  <c r="N89" i="7"/>
  <c r="M89" i="7"/>
  <c r="L89" i="7"/>
  <c r="P88" i="7"/>
  <c r="O88" i="7"/>
  <c r="N88" i="7"/>
  <c r="M88" i="7"/>
  <c r="L88" i="7"/>
  <c r="P87" i="7"/>
  <c r="O87" i="7"/>
  <c r="N87" i="7"/>
  <c r="M87" i="7"/>
  <c r="L87" i="7"/>
  <c r="P86" i="7"/>
  <c r="O86" i="7"/>
  <c r="N86" i="7"/>
  <c r="M86" i="7"/>
  <c r="L86" i="7"/>
  <c r="P85" i="7"/>
  <c r="O85" i="7"/>
  <c r="N85" i="7"/>
  <c r="M85" i="7"/>
  <c r="L85" i="7"/>
  <c r="P84" i="7"/>
  <c r="O84" i="7"/>
  <c r="N84" i="7"/>
  <c r="M84" i="7"/>
  <c r="L84" i="7"/>
  <c r="P83" i="7"/>
  <c r="O83" i="7"/>
  <c r="N83" i="7"/>
  <c r="M83" i="7"/>
  <c r="L83" i="7"/>
  <c r="P82" i="7"/>
  <c r="O82" i="7"/>
  <c r="N82" i="7"/>
  <c r="M82" i="7"/>
  <c r="L82" i="7"/>
  <c r="P81" i="7"/>
  <c r="O81" i="7"/>
  <c r="N81" i="7"/>
  <c r="M81" i="7"/>
  <c r="L81" i="7"/>
  <c r="P80" i="7"/>
  <c r="O80" i="7"/>
  <c r="N80" i="7"/>
  <c r="M80" i="7"/>
  <c r="L80" i="7"/>
  <c r="P79" i="7"/>
  <c r="O79" i="7"/>
  <c r="N79" i="7"/>
  <c r="M79" i="7"/>
  <c r="L79" i="7"/>
  <c r="P78" i="7"/>
  <c r="O78" i="7"/>
  <c r="N78" i="7"/>
  <c r="M78" i="7"/>
  <c r="L78" i="7"/>
  <c r="P77" i="7"/>
  <c r="O77" i="7"/>
  <c r="N77" i="7"/>
  <c r="M77" i="7"/>
  <c r="L77" i="7"/>
  <c r="P76" i="7"/>
  <c r="O76" i="7"/>
  <c r="N76" i="7"/>
  <c r="M76" i="7"/>
  <c r="L76" i="7"/>
  <c r="P75" i="7"/>
  <c r="O75" i="7"/>
  <c r="N75" i="7"/>
  <c r="M75" i="7"/>
  <c r="L75" i="7"/>
  <c r="P74" i="7"/>
  <c r="O74" i="7"/>
  <c r="N74" i="7"/>
  <c r="M74" i="7"/>
  <c r="L74" i="7"/>
  <c r="P73" i="7"/>
  <c r="O73" i="7"/>
  <c r="N73" i="7"/>
  <c r="M73" i="7"/>
  <c r="L73" i="7"/>
  <c r="P72" i="7"/>
  <c r="O72" i="7"/>
  <c r="N72" i="7"/>
  <c r="M72" i="7"/>
  <c r="L72" i="7"/>
  <c r="P71" i="7"/>
  <c r="O71" i="7"/>
  <c r="N71" i="7"/>
  <c r="M71" i="7"/>
  <c r="L71" i="7"/>
  <c r="P70" i="7"/>
  <c r="O70" i="7"/>
  <c r="N70" i="7"/>
  <c r="M70" i="7"/>
  <c r="L70" i="7"/>
  <c r="P69" i="7"/>
  <c r="O69" i="7"/>
  <c r="N69" i="7"/>
  <c r="M69" i="7"/>
  <c r="L69" i="7"/>
  <c r="P68" i="7"/>
  <c r="O68" i="7"/>
  <c r="N68" i="7"/>
  <c r="M68" i="7"/>
  <c r="L68" i="7"/>
  <c r="P67" i="7"/>
  <c r="O67" i="7"/>
  <c r="N67" i="7"/>
  <c r="M67" i="7"/>
  <c r="L67" i="7"/>
  <c r="P66" i="7"/>
  <c r="O66" i="7"/>
  <c r="N66" i="7"/>
  <c r="M66" i="7"/>
  <c r="L66" i="7"/>
  <c r="P65" i="7"/>
  <c r="O65" i="7"/>
  <c r="N65" i="7"/>
  <c r="M65" i="7"/>
  <c r="L65" i="7"/>
  <c r="P64" i="7"/>
  <c r="O64" i="7"/>
  <c r="N64" i="7"/>
  <c r="M64" i="7"/>
  <c r="L64" i="7"/>
  <c r="P63" i="7"/>
  <c r="O63" i="7"/>
  <c r="N63" i="7"/>
  <c r="M63" i="7"/>
  <c r="L63" i="7"/>
  <c r="P62" i="7"/>
  <c r="O62" i="7"/>
  <c r="N62" i="7"/>
  <c r="M62" i="7"/>
  <c r="L62" i="7"/>
  <c r="P61" i="7"/>
  <c r="O61" i="7"/>
  <c r="N61" i="7"/>
  <c r="M61" i="7"/>
  <c r="L61" i="7"/>
  <c r="P60" i="7"/>
  <c r="O60" i="7"/>
  <c r="N60" i="7"/>
  <c r="M60" i="7"/>
  <c r="L60" i="7"/>
  <c r="P59" i="7"/>
  <c r="O59" i="7"/>
  <c r="N59" i="7"/>
  <c r="M59" i="7"/>
  <c r="L59" i="7"/>
  <c r="P58" i="7"/>
  <c r="O58" i="7"/>
  <c r="N58" i="7"/>
  <c r="M58" i="7"/>
  <c r="L58" i="7"/>
  <c r="P57" i="7"/>
  <c r="O57" i="7"/>
  <c r="N57" i="7"/>
  <c r="M57" i="7"/>
  <c r="L57" i="7"/>
  <c r="P56" i="7"/>
  <c r="O56" i="7"/>
  <c r="N56" i="7"/>
  <c r="M56" i="7"/>
  <c r="L56" i="7"/>
  <c r="P55" i="7"/>
  <c r="O55" i="7"/>
  <c r="N55" i="7"/>
  <c r="M55" i="7"/>
  <c r="L55" i="7"/>
  <c r="P54" i="7"/>
  <c r="O54" i="7"/>
  <c r="N54" i="7"/>
  <c r="M54" i="7"/>
  <c r="L54" i="7"/>
  <c r="P53" i="7"/>
  <c r="O53" i="7"/>
  <c r="N53" i="7"/>
  <c r="M53" i="7"/>
  <c r="L53" i="7"/>
  <c r="P52" i="7"/>
  <c r="O52" i="7"/>
  <c r="N52" i="7"/>
  <c r="M52" i="7"/>
  <c r="L52" i="7"/>
  <c r="P51" i="7"/>
  <c r="O51" i="7"/>
  <c r="N51" i="7"/>
  <c r="M51" i="7"/>
  <c r="L51" i="7"/>
  <c r="P50" i="7"/>
  <c r="O50" i="7"/>
  <c r="N50" i="7"/>
  <c r="M50" i="7"/>
  <c r="L50" i="7"/>
  <c r="P49" i="7"/>
  <c r="O49" i="7"/>
  <c r="N49" i="7"/>
  <c r="M49" i="7"/>
  <c r="L49" i="7"/>
  <c r="P48" i="7"/>
  <c r="O48" i="7"/>
  <c r="N48" i="7"/>
  <c r="M48" i="7"/>
  <c r="L48" i="7"/>
  <c r="P47" i="7"/>
  <c r="O47" i="7"/>
  <c r="N47" i="7"/>
  <c r="M47" i="7"/>
  <c r="L47" i="7"/>
  <c r="P46" i="7"/>
  <c r="O46" i="7"/>
  <c r="N46" i="7"/>
  <c r="M46" i="7"/>
  <c r="L46" i="7"/>
  <c r="P45" i="7"/>
  <c r="O45" i="7"/>
  <c r="N45" i="7"/>
  <c r="M45" i="7"/>
  <c r="L45" i="7"/>
  <c r="P44" i="7"/>
  <c r="O44" i="7"/>
  <c r="N44" i="7"/>
  <c r="M44" i="7"/>
  <c r="L44" i="7"/>
  <c r="P43" i="7"/>
  <c r="O43" i="7"/>
  <c r="N43" i="7"/>
  <c r="M43" i="7"/>
  <c r="L43" i="7"/>
  <c r="P42" i="7"/>
  <c r="O42" i="7"/>
  <c r="N42" i="7"/>
  <c r="M42" i="7"/>
  <c r="L42" i="7"/>
  <c r="P41" i="7"/>
  <c r="O41" i="7"/>
  <c r="N41" i="7"/>
  <c r="M41" i="7"/>
  <c r="L41" i="7"/>
  <c r="P40" i="7"/>
  <c r="O40" i="7"/>
  <c r="N40" i="7"/>
  <c r="M40" i="7"/>
  <c r="L40" i="7"/>
  <c r="P39" i="7"/>
  <c r="O39" i="7"/>
  <c r="N39" i="7"/>
  <c r="M39" i="7"/>
  <c r="L39" i="7"/>
  <c r="P38" i="7"/>
  <c r="O38" i="7"/>
  <c r="N38" i="7"/>
  <c r="M38" i="7"/>
  <c r="L38" i="7"/>
  <c r="P37" i="7"/>
  <c r="O37" i="7"/>
  <c r="N37" i="7"/>
  <c r="M37" i="7"/>
  <c r="L37" i="7"/>
  <c r="P36" i="7"/>
  <c r="O36" i="7"/>
  <c r="N36" i="7"/>
  <c r="M36" i="7"/>
  <c r="L36" i="7"/>
  <c r="P35" i="7"/>
  <c r="O35" i="7"/>
  <c r="N35" i="7"/>
  <c r="M35" i="7"/>
  <c r="L35" i="7"/>
  <c r="P34" i="7"/>
  <c r="O34" i="7"/>
  <c r="N34" i="7"/>
  <c r="M34" i="7"/>
  <c r="L34" i="7"/>
  <c r="P33" i="7"/>
  <c r="O33" i="7"/>
  <c r="N33" i="7"/>
  <c r="M33" i="7"/>
  <c r="L33" i="7"/>
  <c r="P32" i="7"/>
  <c r="O32" i="7"/>
  <c r="N32" i="7"/>
  <c r="M32" i="7"/>
  <c r="L32" i="7"/>
  <c r="P31" i="7"/>
  <c r="O31" i="7"/>
  <c r="N31" i="7"/>
  <c r="M31" i="7"/>
  <c r="L31" i="7"/>
  <c r="P30" i="7"/>
  <c r="O30" i="7"/>
  <c r="N30" i="7"/>
  <c r="M30" i="7"/>
  <c r="L30" i="7"/>
  <c r="P29" i="7"/>
  <c r="O29" i="7"/>
  <c r="N29" i="7"/>
  <c r="M29" i="7"/>
  <c r="L29" i="7"/>
  <c r="P28" i="7"/>
  <c r="O28" i="7"/>
  <c r="N28" i="7"/>
  <c r="M28" i="7"/>
  <c r="L28" i="7"/>
  <c r="P27" i="7"/>
  <c r="O27" i="7"/>
  <c r="N27" i="7"/>
  <c r="M27" i="7"/>
  <c r="L27" i="7"/>
  <c r="P26" i="7"/>
  <c r="O26" i="7"/>
  <c r="N26" i="7"/>
  <c r="M26" i="7"/>
  <c r="L26" i="7"/>
  <c r="P25" i="7"/>
  <c r="O25" i="7"/>
  <c r="N25" i="7"/>
  <c r="M25" i="7"/>
  <c r="L25" i="7"/>
  <c r="P24" i="7"/>
  <c r="O24" i="7"/>
  <c r="N24" i="7"/>
  <c r="M24" i="7"/>
  <c r="L24" i="7"/>
  <c r="P23" i="7"/>
  <c r="O23" i="7"/>
  <c r="N23" i="7"/>
  <c r="M23" i="7"/>
  <c r="L23" i="7"/>
  <c r="P22" i="7"/>
  <c r="O22" i="7"/>
  <c r="N22" i="7"/>
  <c r="M22" i="7"/>
  <c r="L22" i="7"/>
  <c r="P21" i="7"/>
  <c r="O21" i="7"/>
  <c r="N21" i="7"/>
  <c r="M21" i="7"/>
  <c r="L21" i="7"/>
  <c r="P20" i="7"/>
  <c r="O20" i="7"/>
  <c r="N20" i="7"/>
  <c r="M20" i="7"/>
  <c r="L20" i="7"/>
  <c r="P19" i="7"/>
  <c r="O19" i="7"/>
  <c r="N19" i="7"/>
  <c r="M19" i="7"/>
  <c r="L19" i="7"/>
  <c r="P18" i="7"/>
  <c r="O18" i="7"/>
  <c r="N18" i="7"/>
  <c r="M18" i="7"/>
  <c r="L18" i="7"/>
  <c r="P17" i="7"/>
  <c r="O17" i="7"/>
  <c r="N17" i="7"/>
  <c r="M17" i="7"/>
  <c r="L17" i="7"/>
  <c r="P16" i="7"/>
  <c r="O16" i="7"/>
  <c r="N16" i="7"/>
  <c r="M16" i="7"/>
  <c r="L16" i="7"/>
  <c r="P15" i="7"/>
  <c r="O15" i="7"/>
  <c r="N15" i="7"/>
  <c r="M15" i="7"/>
  <c r="L15" i="7"/>
  <c r="P14" i="7"/>
  <c r="O14" i="7"/>
  <c r="N14" i="7"/>
  <c r="M14" i="7"/>
  <c r="L14" i="7"/>
  <c r="P13" i="7"/>
  <c r="O13" i="7"/>
  <c r="N13" i="7"/>
  <c r="M13" i="7"/>
  <c r="L13" i="7"/>
  <c r="P12" i="7"/>
  <c r="O12" i="7"/>
  <c r="N12" i="7"/>
  <c r="M12" i="7"/>
  <c r="L12" i="7"/>
  <c r="P11" i="7"/>
  <c r="O11" i="7"/>
  <c r="N11" i="7"/>
  <c r="M11" i="7"/>
  <c r="L11" i="7"/>
  <c r="P10" i="7"/>
  <c r="O10" i="7"/>
  <c r="N10" i="7"/>
  <c r="M10" i="7"/>
  <c r="L10" i="7"/>
  <c r="P9" i="7"/>
  <c r="O9" i="7"/>
  <c r="N9" i="7"/>
  <c r="M9" i="7"/>
  <c r="L9" i="7"/>
  <c r="P8" i="7"/>
  <c r="O8" i="7"/>
  <c r="N8" i="7"/>
  <c r="M8" i="7"/>
  <c r="L8" i="7"/>
  <c r="P7" i="7"/>
  <c r="O7" i="7"/>
  <c r="N7" i="7"/>
  <c r="M7" i="7"/>
  <c r="L7" i="7"/>
  <c r="P6" i="7"/>
  <c r="O6" i="7"/>
  <c r="N6" i="7"/>
  <c r="M6" i="7"/>
  <c r="L6" i="7"/>
  <c r="P5" i="7"/>
  <c r="O5" i="7"/>
  <c r="N5" i="7"/>
  <c r="M5" i="7"/>
  <c r="L5" i="7"/>
  <c r="P4" i="7"/>
  <c r="O4" i="7"/>
  <c r="N4" i="7"/>
  <c r="M4" i="7"/>
  <c r="L4" i="7"/>
  <c r="P3" i="7"/>
  <c r="O3" i="7"/>
  <c r="N3" i="7"/>
  <c r="M3" i="7"/>
  <c r="L3" i="7"/>
  <c r="P2" i="7"/>
  <c r="O2" i="7"/>
  <c r="N2" i="7"/>
  <c r="M2" i="7"/>
  <c r="L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" authorId="0" shapeId="0" xr:uid="{00000000-0006-0000-0600-000001000000}">
      <text>
        <r>
          <rPr>
            <sz val="10"/>
            <rFont val="Arial"/>
            <family val="2"/>
          </rPr>
          <t>Computed = (AssignedDateTime - RaisedDateTime) * 24, in hours</t>
        </r>
      </text>
    </comment>
    <comment ref="M1" authorId="0" shapeId="0" xr:uid="{00000000-0006-0000-0600-000002000000}">
      <text>
        <r>
          <rPr>
            <sz val="10"/>
            <rFont val="Arial"/>
            <family val="2"/>
          </rPr>
          <t>Computed = (ResolvedDateTime - AssignedDateTime) * 24, in hours</t>
        </r>
      </text>
    </comment>
    <comment ref="N1" authorId="0" shapeId="0" xr:uid="{00000000-0006-0000-0600-000003000000}">
      <text>
        <r>
          <rPr>
            <sz val="10"/>
            <rFont val="Arial"/>
            <family val="2"/>
          </rPr>
          <t>Computed = (ClosedDateTime - RaisedDateTime) * 24, in hours</t>
        </r>
      </text>
    </comment>
    <comment ref="O1" authorId="0" shapeId="0" xr:uid="{00000000-0006-0000-0600-000004000000}">
      <text>
        <r>
          <rPr>
            <sz val="10"/>
            <rFont val="Arial"/>
            <family val="2"/>
          </rPr>
          <t>Computed = 'Yes' if ResolutionTimeHours exceeds that ServiceType's SLA_Hours in Dim_ServiceType, via INDEX/MATCH</t>
        </r>
      </text>
    </comment>
    <comment ref="P1" authorId="0" shapeId="0" xr:uid="{00000000-0006-0000-0600-000005000000}">
      <text>
        <r>
          <rPr>
            <sz val="10"/>
            <rFont val="Arial"/>
            <family val="2"/>
          </rPr>
          <t>Computed = current lifecycle stage the ticket is sitting at</t>
        </r>
      </text>
    </comment>
  </commentList>
</comments>
</file>

<file path=xl/sharedStrings.xml><?xml version="1.0" encoding="utf-8"?>
<sst xmlns="http://schemas.openxmlformats.org/spreadsheetml/2006/main" count="4217" uniqueCount="1198">
  <si>
    <t>Telecom Service Ticket Analytics — Data Model</t>
  </si>
  <si>
    <t>Sheets in this workbook</t>
  </si>
  <si>
    <t>Dim_Plan</t>
  </si>
  <si>
    <t>15 mobile plans — Prepaid, Postpaid, and Corporate tiers with target customer segment</t>
  </si>
  <si>
    <t>Dim_Region</t>
  </si>
  <si>
    <t>15 regions across Bangladesh divisions (Dhaka, Chattogram, Khulna, Rajshahi, Sylhet, Barishal, Rangpur, Mymensingh), urban/rural area type</t>
  </si>
  <si>
    <t>Dim_ServiceType</t>
  </si>
  <si>
    <t>15 complaint categories (Network, Billing, SIM, Data Service, Value Added Service, Roaming, Customer Service) each with its own SLA_Hours target</t>
  </si>
  <si>
    <t>Dim_Agent</t>
  </si>
  <si>
    <t>15 support agents across Network/Billing/Technical/Customer Care/SIM &amp; Porting teams</t>
  </si>
  <si>
    <t>Dim_Date</t>
  </si>
  <si>
    <t>Calendar table, FY2025 (Jan 1 - Dec 31), 365 rows — one per day</t>
  </si>
  <si>
    <t>Fact_Ticket</t>
  </si>
  <si>
    <t>1,000 service tickets spanning the full lifecycle: Raised -&gt; Assigned -&gt; Resolved -&gt; Closed. Includes in-flight (pending) tickets as of the snapshot date-time above.</t>
  </si>
  <si>
    <t>Why some fact rows have blank date-times</t>
  </si>
  <si>
    <t>5% of rows (50) are stuck unassigned — only RaisedDateTime is filled. TicketStatus = 'Open (Unassigned)'.</t>
  </si>
  <si>
    <t>10% of rows (100) are assigned but not yet resolved — AssignedDateTime exists, ResolvedDateTime and ClosedDateTime are blank. TicketStatus = 'In Progress'.</t>
  </si>
  <si>
    <t>85% of rows (850) are fully closed. TicketStatus = 'Closed'.</t>
  </si>
  <si>
    <t>Columns built in for this kind of analysis</t>
  </si>
  <si>
    <t>Pending / SLA logic</t>
  </si>
  <si>
    <t>TicketStatus (Open/In Progress/Resolved/Closed) and SLABreachFlag (actual resolution time vs. that ServiceType's SLA_Hours in Dim_ServiceType).</t>
  </si>
  <si>
    <t>Bottleneck across stages</t>
  </si>
  <si>
    <t>AssignmentDelayHours, ResolutionTimeHours, TotalCycleTimeHours — each stage timed separately in hours (telecom SLAs are hour-based, not day-based).</t>
  </si>
  <si>
    <t>Comparative analysis</t>
  </si>
  <si>
    <t>PlanID / RegionID / ServiceTypeID / AgentID keys let you pivot the same measures by plan, region, complaint type, or agent/team.</t>
  </si>
  <si>
    <t>Operational decision making</t>
  </si>
  <si>
    <t>CustomerSatisfactionScore and ReopenedFlag translate resolution speed into a customer-experience and rework signal.</t>
  </si>
  <si>
    <t>PlanID</t>
  </si>
  <si>
    <t>PlanName</t>
  </si>
  <si>
    <t>PlanType</t>
  </si>
  <si>
    <t>MonthlyFeeBDT</t>
  </si>
  <si>
    <t>DataAllowanceGB</t>
  </si>
  <si>
    <t>VoiceMinutes</t>
  </si>
  <si>
    <t>TargetSegment</t>
  </si>
  <si>
    <t>Prepaid Basic</t>
  </si>
  <si>
    <t>Prepaid</t>
  </si>
  <si>
    <t>Mass Market</t>
  </si>
  <si>
    <t>Prepaid Value</t>
  </si>
  <si>
    <t>Prepaid Power</t>
  </si>
  <si>
    <t>Youth</t>
  </si>
  <si>
    <t>Prepaid Unlimited Lite</t>
  </si>
  <si>
    <t>Postpaid Smart</t>
  </si>
  <si>
    <t>Postpaid</t>
  </si>
  <si>
    <t>Professional</t>
  </si>
  <si>
    <t>Postpaid Premium</t>
  </si>
  <si>
    <t>Postpaid Family</t>
  </si>
  <si>
    <t>Family</t>
  </si>
  <si>
    <t>Postpaid Executive</t>
  </si>
  <si>
    <t>Corporate Standard</t>
  </si>
  <si>
    <t>Corporate</t>
  </si>
  <si>
    <t>SME</t>
  </si>
  <si>
    <t>Corporate Plus</t>
  </si>
  <si>
    <t>Corporate Enterprise</t>
  </si>
  <si>
    <t>Enterprise</t>
  </si>
  <si>
    <t>Student Saver</t>
  </si>
  <si>
    <t>Student</t>
  </si>
  <si>
    <t>Senior Care</t>
  </si>
  <si>
    <t>Senior Citizen</t>
  </si>
  <si>
    <t>IoT Connect</t>
  </si>
  <si>
    <t>IoT/M2M</t>
  </si>
  <si>
    <t>Roaming Traveller Pack</t>
  </si>
  <si>
    <t>Traveller</t>
  </si>
  <si>
    <t>RegionID</t>
  </si>
  <si>
    <t>RegionName</t>
  </si>
  <si>
    <t>Division</t>
  </si>
  <si>
    <t>AreaType</t>
  </si>
  <si>
    <t>PopulationDensity</t>
  </si>
  <si>
    <t>Dhaka Metro</t>
  </si>
  <si>
    <t>Dhaka</t>
  </si>
  <si>
    <t>Urban</t>
  </si>
  <si>
    <t>Very High</t>
  </si>
  <si>
    <t>Dhaka North</t>
  </si>
  <si>
    <t>High</t>
  </si>
  <si>
    <t>Gazipur</t>
  </si>
  <si>
    <t>Narayanganj</t>
  </si>
  <si>
    <t>Chattogram Metro</t>
  </si>
  <si>
    <t>Chattogram</t>
  </si>
  <si>
    <t>Cox's Bazar</t>
  </si>
  <si>
    <t>Rural</t>
  </si>
  <si>
    <t>Low</t>
  </si>
  <si>
    <t>Cumilla</t>
  </si>
  <si>
    <t>Medium</t>
  </si>
  <si>
    <t>Khulna</t>
  </si>
  <si>
    <t>Jashore</t>
  </si>
  <si>
    <t>Rajshahi</t>
  </si>
  <si>
    <t>Bogura</t>
  </si>
  <si>
    <t>Sylhet</t>
  </si>
  <si>
    <t>Barishal</t>
  </si>
  <si>
    <t>Rangpur</t>
  </si>
  <si>
    <t>Mymensingh</t>
  </si>
  <si>
    <t>ServiceTypeID</t>
  </si>
  <si>
    <t>CategoryName</t>
  </si>
  <si>
    <t>SubCategory</t>
  </si>
  <si>
    <t>Priority</t>
  </si>
  <si>
    <t>SLA_Hours</t>
  </si>
  <si>
    <t>Network</t>
  </si>
  <si>
    <t>Call Drop</t>
  </si>
  <si>
    <t>No Signal / Coverage</t>
  </si>
  <si>
    <t>Slow Data Speed</t>
  </si>
  <si>
    <t>Billing</t>
  </si>
  <si>
    <t>Incorrect Charge</t>
  </si>
  <si>
    <t>Balance Deduction Dispute</t>
  </si>
  <si>
    <t>Refund Request</t>
  </si>
  <si>
    <t>SIM</t>
  </si>
  <si>
    <t>SIM Replacement</t>
  </si>
  <si>
    <t>SIM Activation Issue</t>
  </si>
  <si>
    <t>Number Porting (MNP)</t>
  </si>
  <si>
    <t>Data Service</t>
  </si>
  <si>
    <t>Internet Not Working</t>
  </si>
  <si>
    <t>APN Configuration</t>
  </si>
  <si>
    <t>Value Added Service</t>
  </si>
  <si>
    <t>Unwanted Subscription</t>
  </si>
  <si>
    <t>VAS Activation Failure</t>
  </si>
  <si>
    <t>Roaming</t>
  </si>
  <si>
    <t>Roaming Not Working</t>
  </si>
  <si>
    <t>Customer Service</t>
  </si>
  <si>
    <t>General Inquiry</t>
  </si>
  <si>
    <t>AgentID</t>
  </si>
  <si>
    <t>AgentName</t>
  </si>
  <si>
    <t>Team</t>
  </si>
  <si>
    <t>Shift</t>
  </si>
  <si>
    <t>ExperienceYears</t>
  </si>
  <si>
    <t>AgentRating</t>
  </si>
  <si>
    <t>Tanvir Ahmed</t>
  </si>
  <si>
    <t>Network Support</t>
  </si>
  <si>
    <t>Day</t>
  </si>
  <si>
    <t>Nusrat Jahan</t>
  </si>
  <si>
    <t>Billing Support</t>
  </si>
  <si>
    <t>Kamal Hossain</t>
  </si>
  <si>
    <t>Customer Care</t>
  </si>
  <si>
    <t>Farida Yasmin</t>
  </si>
  <si>
    <t>Technical Support</t>
  </si>
  <si>
    <t>Night</t>
  </si>
  <si>
    <t>Rafiqul Islam</t>
  </si>
  <si>
    <t>Mahmuda Begum</t>
  </si>
  <si>
    <t>Abdul Karim</t>
  </si>
  <si>
    <t>SIM &amp; Porting</t>
  </si>
  <si>
    <t>Jashim Uddin</t>
  </si>
  <si>
    <t>Ruma Akter</t>
  </si>
  <si>
    <t>Shamsul Alam</t>
  </si>
  <si>
    <t>Shirin Sultana</t>
  </si>
  <si>
    <t>Anisur Rahman</t>
  </si>
  <si>
    <t>Tasnim Hasan</t>
  </si>
  <si>
    <t>Delwar Hossain</t>
  </si>
  <si>
    <t>Sultana Razia</t>
  </si>
  <si>
    <t>DateID</t>
  </si>
  <si>
    <t>Date</t>
  </si>
  <si>
    <t>Year</t>
  </si>
  <si>
    <t>Quarter</t>
  </si>
  <si>
    <t>Month</t>
  </si>
  <si>
    <t>MonthName</t>
  </si>
  <si>
    <t>WeekOfYear</t>
  </si>
  <si>
    <t>DayOfWeek</t>
  </si>
  <si>
    <t>IsWeekend</t>
  </si>
  <si>
    <t>Q1</t>
  </si>
  <si>
    <t>January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</si>
  <si>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</si>
  <si>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</si>
  <si>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</si>
  <si>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</si>
  <si>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</si>
  <si>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</si>
  <si>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</si>
  <si>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</si>
  <si>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</si>
  <si>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</si>
  <si>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</si>
  <si>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</si>
  <si>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</si>
  <si>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</si>
  <si>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</si>
  <si>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</si>
  <si>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</si>
  <si>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</si>
  <si>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</si>
  <si>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</si>
  <si>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</si>
  <si>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TicketID</t>
  </si>
  <si>
    <t>TicketNumber</t>
  </si>
  <si>
    <t>RaisedDateTime</t>
  </si>
  <si>
    <t>AssignedDateTime</t>
  </si>
  <si>
    <t>ResolvedDateTime</t>
  </si>
  <si>
    <t>ClosedDateTime</t>
  </si>
  <si>
    <t>Channel</t>
  </si>
  <si>
    <t>AssignmentDelayHours</t>
  </si>
  <si>
    <t>ResolutionTimeHours</t>
  </si>
  <si>
    <t>TotalCycleTimeHours</t>
  </si>
  <si>
    <t>SLABreachFlag</t>
  </si>
  <si>
    <t>TicketStatus</t>
  </si>
  <si>
    <t>CustomerSatisfactionScore</t>
  </si>
  <si>
    <t>ReopenedFlag</t>
  </si>
  <si>
    <t>TCK-2025-00001</t>
  </si>
  <si>
    <t>Social Media</t>
  </si>
  <si>
    <t>Yes</t>
  </si>
  <si>
    <t>TCK-2025-00002</t>
  </si>
  <si>
    <t>Website</t>
  </si>
  <si>
    <t>No</t>
  </si>
  <si>
    <t>TCK-2025-00003</t>
  </si>
  <si>
    <t>Mobile App</t>
  </si>
  <si>
    <t>TCK-2025-00004</t>
  </si>
  <si>
    <t>Call Center</t>
  </si>
  <si>
    <t>TCK-2025-00005</t>
  </si>
  <si>
    <t>TCK-2025-00006</t>
  </si>
  <si>
    <t>TCK-2025-00007</t>
  </si>
  <si>
    <t>TCK-2025-00008</t>
  </si>
  <si>
    <t>TCK-2025-00009</t>
  </si>
  <si>
    <t>TCK-2025-00010</t>
  </si>
  <si>
    <t>Retail Store</t>
  </si>
  <si>
    <t>TCK-2025-00011</t>
  </si>
  <si>
    <t>TCK-2025-00012</t>
  </si>
  <si>
    <t>TCK-2025-00013</t>
  </si>
  <si>
    <t>TCK-2025-00014</t>
  </si>
  <si>
    <t>TCK-2025-00015</t>
  </si>
  <si>
    <t>TCK-2025-00016</t>
  </si>
  <si>
    <t>TCK-2025-00017</t>
  </si>
  <si>
    <t>TCK-2025-00018</t>
  </si>
  <si>
    <t>TCK-2025-00019</t>
  </si>
  <si>
    <t>TCK-2025-00020</t>
  </si>
  <si>
    <t>TCK-2025-00021</t>
  </si>
  <si>
    <t>TCK-2025-00022</t>
  </si>
  <si>
    <t>TCK-2025-00023</t>
  </si>
  <si>
    <t>TCK-2025-00024</t>
  </si>
  <si>
    <t>TCK-2025-00025</t>
  </si>
  <si>
    <t>TCK-2025-00026</t>
  </si>
  <si>
    <t>TCK-2025-00027</t>
  </si>
  <si>
    <t>TCK-2025-00028</t>
  </si>
  <si>
    <t>TCK-2025-00029</t>
  </si>
  <si>
    <t>TCK-2025-00030</t>
  </si>
  <si>
    <t>TCK-2025-00031</t>
  </si>
  <si>
    <t>TCK-2025-00032</t>
  </si>
  <si>
    <t>TCK-2025-00033</t>
  </si>
  <si>
    <t>TCK-2025-00034</t>
  </si>
  <si>
    <t>TCK-2025-00035</t>
  </si>
  <si>
    <t>TCK-2025-00036</t>
  </si>
  <si>
    <t>TCK-2025-00037</t>
  </si>
  <si>
    <t>TCK-2025-00038</t>
  </si>
  <si>
    <t>TCK-2025-00039</t>
  </si>
  <si>
    <t>TCK-2025-00040</t>
  </si>
  <si>
    <t>TCK-2025-00041</t>
  </si>
  <si>
    <t>TCK-2025-00042</t>
  </si>
  <si>
    <t>TCK-2025-00043</t>
  </si>
  <si>
    <t>TCK-2025-00044</t>
  </si>
  <si>
    <t>TCK-2025-00045</t>
  </si>
  <si>
    <t>TCK-2025-00046</t>
  </si>
  <si>
    <t>TCK-2025-00047</t>
  </si>
  <si>
    <t>TCK-2025-00048</t>
  </si>
  <si>
    <t>TCK-2025-00049</t>
  </si>
  <si>
    <t>TCK-2025-00050</t>
  </si>
  <si>
    <t>TCK-2025-00051</t>
  </si>
  <si>
    <t>TCK-2025-00052</t>
  </si>
  <si>
    <t>TCK-2025-00053</t>
  </si>
  <si>
    <t>TCK-2025-00054</t>
  </si>
  <si>
    <t>TCK-2025-00055</t>
  </si>
  <si>
    <t>TCK-2025-00056</t>
  </si>
  <si>
    <t>TCK-2025-00057</t>
  </si>
  <si>
    <t>TCK-2025-00058</t>
  </si>
  <si>
    <t>TCK-2025-00059</t>
  </si>
  <si>
    <t>TCK-2025-00060</t>
  </si>
  <si>
    <t>TCK-2025-00061</t>
  </si>
  <si>
    <t>TCK-2025-00062</t>
  </si>
  <si>
    <t>TCK-2025-00063</t>
  </si>
  <si>
    <t>TCK-2025-00064</t>
  </si>
  <si>
    <t>TCK-2025-00065</t>
  </si>
  <si>
    <t>TCK-2025-00066</t>
  </si>
  <si>
    <t>TCK-2025-00067</t>
  </si>
  <si>
    <t>TCK-2025-00068</t>
  </si>
  <si>
    <t>TCK-2025-00069</t>
  </si>
  <si>
    <t>TCK-2025-00070</t>
  </si>
  <si>
    <t>TCK-2025-00071</t>
  </si>
  <si>
    <t>TCK-2025-00072</t>
  </si>
  <si>
    <t>TCK-2025-00073</t>
  </si>
  <si>
    <t>TCK-2025-00074</t>
  </si>
  <si>
    <t>TCK-2025-00075</t>
  </si>
  <si>
    <t>TCK-2025-00076</t>
  </si>
  <si>
    <t>TCK-2025-00077</t>
  </si>
  <si>
    <t>TCK-2025-00078</t>
  </si>
  <si>
    <t>TCK-2025-00079</t>
  </si>
  <si>
    <t>TCK-2025-00080</t>
  </si>
  <si>
    <t>TCK-2025-00081</t>
  </si>
  <si>
    <t>TCK-2025-00082</t>
  </si>
  <si>
    <t>TCK-2025-00083</t>
  </si>
  <si>
    <t>TCK-2025-00084</t>
  </si>
  <si>
    <t>TCK-2025-00085</t>
  </si>
  <si>
    <t>TCK-2025-00086</t>
  </si>
  <si>
    <t>TCK-2025-00087</t>
  </si>
  <si>
    <t>TCK-2025-00088</t>
  </si>
  <si>
    <t>TCK-2025-00089</t>
  </si>
  <si>
    <t>TCK-2025-00090</t>
  </si>
  <si>
    <t>TCK-2025-00091</t>
  </si>
  <si>
    <t>TCK-2025-00092</t>
  </si>
  <si>
    <t>TCK-2025-00093</t>
  </si>
  <si>
    <t>TCK-2025-00094</t>
  </si>
  <si>
    <t>TCK-2025-00095</t>
  </si>
  <si>
    <t>TCK-2025-00096</t>
  </si>
  <si>
    <t>TCK-2025-00097</t>
  </si>
  <si>
    <t>TCK-2025-00098</t>
  </si>
  <si>
    <t>TCK-2025-00099</t>
  </si>
  <si>
    <t>TCK-2025-00100</t>
  </si>
  <si>
    <t>TCK-2025-00101</t>
  </si>
  <si>
    <t>TCK-2025-00102</t>
  </si>
  <si>
    <t>TCK-2025-00103</t>
  </si>
  <si>
    <t>TCK-2025-00104</t>
  </si>
  <si>
    <t>TCK-2025-00105</t>
  </si>
  <si>
    <t>TCK-2025-00106</t>
  </si>
  <si>
    <t>TCK-2025-00107</t>
  </si>
  <si>
    <t>TCK-2025-00108</t>
  </si>
  <si>
    <t>TCK-2025-00109</t>
  </si>
  <si>
    <t>TCK-2025-00110</t>
  </si>
  <si>
    <t>TCK-2025-00111</t>
  </si>
  <si>
    <t>TCK-2025-00112</t>
  </si>
  <si>
    <t>TCK-2025-00113</t>
  </si>
  <si>
    <t>TCK-2025-00114</t>
  </si>
  <si>
    <t>TCK-2025-00115</t>
  </si>
  <si>
    <t>TCK-2025-00116</t>
  </si>
  <si>
    <t>TCK-2025-00117</t>
  </si>
  <si>
    <t>TCK-2025-00118</t>
  </si>
  <si>
    <t>TCK-2025-00119</t>
  </si>
  <si>
    <t>TCK-2025-00120</t>
  </si>
  <si>
    <t>TCK-2025-00121</t>
  </si>
  <si>
    <t>TCK-2025-00122</t>
  </si>
  <si>
    <t>TCK-2025-00123</t>
  </si>
  <si>
    <t>TCK-2025-00124</t>
  </si>
  <si>
    <t>TCK-2025-00125</t>
  </si>
  <si>
    <t>TCK-2025-00126</t>
  </si>
  <si>
    <t>TCK-2025-00127</t>
  </si>
  <si>
    <t>TCK-2025-00128</t>
  </si>
  <si>
    <t>TCK-2025-00129</t>
  </si>
  <si>
    <t>TCK-2025-00130</t>
  </si>
  <si>
    <t>TCK-2025-00131</t>
  </si>
  <si>
    <t>TCK-2025-00132</t>
  </si>
  <si>
    <t>TCK-2025-00133</t>
  </si>
  <si>
    <t>TCK-2025-00134</t>
  </si>
  <si>
    <t>TCK-2025-00135</t>
  </si>
  <si>
    <t>TCK-2025-00136</t>
  </si>
  <si>
    <t>TCK-2025-00137</t>
  </si>
  <si>
    <t>TCK-2025-00138</t>
  </si>
  <si>
    <t>TCK-2025-00139</t>
  </si>
  <si>
    <t>TCK-2025-00140</t>
  </si>
  <si>
    <t>TCK-2025-00141</t>
  </si>
  <si>
    <t>TCK-2025-00142</t>
  </si>
  <si>
    <t>TCK-2025-00143</t>
  </si>
  <si>
    <t>TCK-2025-00144</t>
  </si>
  <si>
    <t>TCK-2025-00145</t>
  </si>
  <si>
    <t>TCK-2025-00146</t>
  </si>
  <si>
    <t>TCK-2025-00147</t>
  </si>
  <si>
    <t>TCK-2025-00148</t>
  </si>
  <si>
    <t>TCK-2025-00149</t>
  </si>
  <si>
    <t>TCK-2025-00150</t>
  </si>
  <si>
    <t>TCK-2025-00151</t>
  </si>
  <si>
    <t>TCK-2025-00152</t>
  </si>
  <si>
    <t>TCK-2025-00153</t>
  </si>
  <si>
    <t>TCK-2025-00154</t>
  </si>
  <si>
    <t>TCK-2025-00155</t>
  </si>
  <si>
    <t>TCK-2025-00156</t>
  </si>
  <si>
    <t>TCK-2025-00157</t>
  </si>
  <si>
    <t>TCK-2025-00158</t>
  </si>
  <si>
    <t>TCK-2025-00159</t>
  </si>
  <si>
    <t>TCK-2025-00160</t>
  </si>
  <si>
    <t>TCK-2025-00161</t>
  </si>
  <si>
    <t>TCK-2025-00162</t>
  </si>
  <si>
    <t>TCK-2025-00163</t>
  </si>
  <si>
    <t>TCK-2025-00164</t>
  </si>
  <si>
    <t>TCK-2025-00165</t>
  </si>
  <si>
    <t>TCK-2025-00166</t>
  </si>
  <si>
    <t>TCK-2025-00167</t>
  </si>
  <si>
    <t>TCK-2025-00168</t>
  </si>
  <si>
    <t>TCK-2025-00169</t>
  </si>
  <si>
    <t>TCK-2025-00170</t>
  </si>
  <si>
    <t>TCK-2025-00171</t>
  </si>
  <si>
    <t>TCK-2025-00172</t>
  </si>
  <si>
    <t>TCK-2025-00173</t>
  </si>
  <si>
    <t>TCK-2025-00174</t>
  </si>
  <si>
    <t>TCK-2025-00175</t>
  </si>
  <si>
    <t>TCK-2025-00176</t>
  </si>
  <si>
    <t>TCK-2025-00177</t>
  </si>
  <si>
    <t>TCK-2025-00178</t>
  </si>
  <si>
    <t>TCK-2025-00179</t>
  </si>
  <si>
    <t>TCK-2025-00180</t>
  </si>
  <si>
    <t>TCK-2025-00181</t>
  </si>
  <si>
    <t>TCK-2025-00182</t>
  </si>
  <si>
    <t>TCK-2025-00183</t>
  </si>
  <si>
    <t>TCK-2025-00184</t>
  </si>
  <si>
    <t>TCK-2025-00185</t>
  </si>
  <si>
    <t>TCK-2025-00186</t>
  </si>
  <si>
    <t>TCK-2025-00187</t>
  </si>
  <si>
    <t>TCK-2025-00188</t>
  </si>
  <si>
    <t>TCK-2025-00189</t>
  </si>
  <si>
    <t>TCK-2025-00190</t>
  </si>
  <si>
    <t>TCK-2025-00191</t>
  </si>
  <si>
    <t>TCK-2025-00192</t>
  </si>
  <si>
    <t>TCK-2025-00193</t>
  </si>
  <si>
    <t>TCK-2025-00194</t>
  </si>
  <si>
    <t>TCK-2025-00195</t>
  </si>
  <si>
    <t>TCK-2025-00196</t>
  </si>
  <si>
    <t>TCK-2025-00197</t>
  </si>
  <si>
    <t>TCK-2025-00198</t>
  </si>
  <si>
    <t>TCK-2025-00199</t>
  </si>
  <si>
    <t>TCK-2025-00200</t>
  </si>
  <si>
    <t>TCK-2025-00201</t>
  </si>
  <si>
    <t>TCK-2025-00202</t>
  </si>
  <si>
    <t>TCK-2025-00203</t>
  </si>
  <si>
    <t>TCK-2025-00204</t>
  </si>
  <si>
    <t>TCK-2025-00205</t>
  </si>
  <si>
    <t>TCK-2025-00206</t>
  </si>
  <si>
    <t>TCK-2025-00207</t>
  </si>
  <si>
    <t>TCK-2025-00208</t>
  </si>
  <si>
    <t>TCK-2025-00209</t>
  </si>
  <si>
    <t>TCK-2025-00210</t>
  </si>
  <si>
    <t>TCK-2025-00211</t>
  </si>
  <si>
    <t>TCK-2025-00212</t>
  </si>
  <si>
    <t>TCK-2025-00213</t>
  </si>
  <si>
    <t>TCK-2025-00214</t>
  </si>
  <si>
    <t>TCK-2025-00215</t>
  </si>
  <si>
    <t>TCK-2025-00216</t>
  </si>
  <si>
    <t>TCK-2025-00217</t>
  </si>
  <si>
    <t>TCK-2025-00218</t>
  </si>
  <si>
    <t>TCK-2025-00219</t>
  </si>
  <si>
    <t>TCK-2025-00220</t>
  </si>
  <si>
    <t>TCK-2025-00221</t>
  </si>
  <si>
    <t>TCK-2025-00222</t>
  </si>
  <si>
    <t>TCK-2025-00223</t>
  </si>
  <si>
    <t>TCK-2025-00224</t>
  </si>
  <si>
    <t>TCK-2025-00225</t>
  </si>
  <si>
    <t>TCK-2025-00226</t>
  </si>
  <si>
    <t>TCK-2025-00227</t>
  </si>
  <si>
    <t>TCK-2025-00228</t>
  </si>
  <si>
    <t>TCK-2025-00229</t>
  </si>
  <si>
    <t>TCK-2025-00230</t>
  </si>
  <si>
    <t>TCK-2025-00231</t>
  </si>
  <si>
    <t>TCK-2025-00232</t>
  </si>
  <si>
    <t>TCK-2025-00233</t>
  </si>
  <si>
    <t>TCK-2025-00234</t>
  </si>
  <si>
    <t>TCK-2025-00235</t>
  </si>
  <si>
    <t>TCK-2025-00236</t>
  </si>
  <si>
    <t>TCK-2025-00237</t>
  </si>
  <si>
    <t>TCK-2025-00238</t>
  </si>
  <si>
    <t>TCK-2025-00239</t>
  </si>
  <si>
    <t>TCK-2025-00240</t>
  </si>
  <si>
    <t>TCK-2025-00241</t>
  </si>
  <si>
    <t>TCK-2025-00242</t>
  </si>
  <si>
    <t>TCK-2025-00243</t>
  </si>
  <si>
    <t>TCK-2025-00244</t>
  </si>
  <si>
    <t>TCK-2025-00245</t>
  </si>
  <si>
    <t>TCK-2025-00246</t>
  </si>
  <si>
    <t>TCK-2025-00247</t>
  </si>
  <si>
    <t>TCK-2025-00248</t>
  </si>
  <si>
    <t>TCK-2025-00249</t>
  </si>
  <si>
    <t>TCK-2025-00250</t>
  </si>
  <si>
    <t>TCK-2025-00251</t>
  </si>
  <si>
    <t>TCK-2025-00252</t>
  </si>
  <si>
    <t>TCK-2025-00253</t>
  </si>
  <si>
    <t>TCK-2025-00254</t>
  </si>
  <si>
    <t>TCK-2025-00255</t>
  </si>
  <si>
    <t>TCK-2025-00256</t>
  </si>
  <si>
    <t>TCK-2025-00257</t>
  </si>
  <si>
    <t>TCK-2025-00258</t>
  </si>
  <si>
    <t>TCK-2025-00259</t>
  </si>
  <si>
    <t>TCK-2025-00260</t>
  </si>
  <si>
    <t>TCK-2025-00261</t>
  </si>
  <si>
    <t>TCK-2025-00262</t>
  </si>
  <si>
    <t>TCK-2025-00263</t>
  </si>
  <si>
    <t>TCK-2025-00264</t>
  </si>
  <si>
    <t>TCK-2025-00265</t>
  </si>
  <si>
    <t>TCK-2025-00266</t>
  </si>
  <si>
    <t>TCK-2025-00267</t>
  </si>
  <si>
    <t>TCK-2025-00268</t>
  </si>
  <si>
    <t>TCK-2025-00269</t>
  </si>
  <si>
    <t>TCK-2025-00270</t>
  </si>
  <si>
    <t>TCK-2025-00271</t>
  </si>
  <si>
    <t>TCK-2025-00272</t>
  </si>
  <si>
    <t>TCK-2025-00273</t>
  </si>
  <si>
    <t>TCK-2025-00274</t>
  </si>
  <si>
    <t>TCK-2025-00275</t>
  </si>
  <si>
    <t>TCK-2025-00276</t>
  </si>
  <si>
    <t>TCK-2025-00277</t>
  </si>
  <si>
    <t>TCK-2025-00278</t>
  </si>
  <si>
    <t>TCK-2025-00279</t>
  </si>
  <si>
    <t>TCK-2025-00280</t>
  </si>
  <si>
    <t>TCK-2025-00281</t>
  </si>
  <si>
    <t>TCK-2025-00282</t>
  </si>
  <si>
    <t>TCK-2025-00283</t>
  </si>
  <si>
    <t>TCK-2025-00284</t>
  </si>
  <si>
    <t>TCK-2025-00285</t>
  </si>
  <si>
    <t>TCK-2025-00286</t>
  </si>
  <si>
    <t>TCK-2025-00287</t>
  </si>
  <si>
    <t>TCK-2025-00288</t>
  </si>
  <si>
    <t>TCK-2025-00289</t>
  </si>
  <si>
    <t>TCK-2025-00290</t>
  </si>
  <si>
    <t>TCK-2025-00291</t>
  </si>
  <si>
    <t>TCK-2025-00292</t>
  </si>
  <si>
    <t>TCK-2025-00293</t>
  </si>
  <si>
    <t>TCK-2025-00294</t>
  </si>
  <si>
    <t>TCK-2025-00295</t>
  </si>
  <si>
    <t>TCK-2025-00296</t>
  </si>
  <si>
    <t>TCK-2025-00297</t>
  </si>
  <si>
    <t>TCK-2025-00298</t>
  </si>
  <si>
    <t>TCK-2025-00299</t>
  </si>
  <si>
    <t>TCK-2025-00300</t>
  </si>
  <si>
    <t>TCK-2025-00301</t>
  </si>
  <si>
    <t>TCK-2025-00302</t>
  </si>
  <si>
    <t>TCK-2025-00303</t>
  </si>
  <si>
    <t>TCK-2025-00304</t>
  </si>
  <si>
    <t>TCK-2025-00305</t>
  </si>
  <si>
    <t>TCK-2025-00306</t>
  </si>
  <si>
    <t>TCK-2025-00307</t>
  </si>
  <si>
    <t>TCK-2025-00308</t>
  </si>
  <si>
    <t>TCK-2025-00309</t>
  </si>
  <si>
    <t>TCK-2025-00310</t>
  </si>
  <si>
    <t>TCK-2025-00311</t>
  </si>
  <si>
    <t>TCK-2025-00312</t>
  </si>
  <si>
    <t>TCK-2025-00313</t>
  </si>
  <si>
    <t>TCK-2025-00314</t>
  </si>
  <si>
    <t>TCK-2025-00315</t>
  </si>
  <si>
    <t>TCK-2025-00316</t>
  </si>
  <si>
    <t>TCK-2025-00317</t>
  </si>
  <si>
    <t>TCK-2025-00318</t>
  </si>
  <si>
    <t>TCK-2025-00319</t>
  </si>
  <si>
    <t>TCK-2025-00320</t>
  </si>
  <si>
    <t>TCK-2025-00321</t>
  </si>
  <si>
    <t>TCK-2025-00322</t>
  </si>
  <si>
    <t>TCK-2025-00323</t>
  </si>
  <si>
    <t>TCK-2025-00324</t>
  </si>
  <si>
    <t>TCK-2025-00325</t>
  </si>
  <si>
    <t>TCK-2025-00326</t>
  </si>
  <si>
    <t>TCK-2025-00327</t>
  </si>
  <si>
    <t>TCK-2025-00328</t>
  </si>
  <si>
    <t>TCK-2025-00329</t>
  </si>
  <si>
    <t>TCK-2025-00330</t>
  </si>
  <si>
    <t>TCK-2025-00331</t>
  </si>
  <si>
    <t>TCK-2025-00332</t>
  </si>
  <si>
    <t>TCK-2025-00333</t>
  </si>
  <si>
    <t>TCK-2025-00334</t>
  </si>
  <si>
    <t>TCK-2025-00335</t>
  </si>
  <si>
    <t>TCK-2025-00336</t>
  </si>
  <si>
    <t>TCK-2025-00337</t>
  </si>
  <si>
    <t>TCK-2025-00338</t>
  </si>
  <si>
    <t>TCK-2025-00339</t>
  </si>
  <si>
    <t>TCK-2025-00340</t>
  </si>
  <si>
    <t>TCK-2025-00341</t>
  </si>
  <si>
    <t>TCK-2025-00342</t>
  </si>
  <si>
    <t>TCK-2025-00343</t>
  </si>
  <si>
    <t>TCK-2025-00344</t>
  </si>
  <si>
    <t>TCK-2025-00345</t>
  </si>
  <si>
    <t>TCK-2025-00346</t>
  </si>
  <si>
    <t>TCK-2025-00347</t>
  </si>
  <si>
    <t>TCK-2025-00348</t>
  </si>
  <si>
    <t>TCK-2025-00349</t>
  </si>
  <si>
    <t>TCK-2025-00350</t>
  </si>
  <si>
    <t>TCK-2025-00351</t>
  </si>
  <si>
    <t>TCK-2025-00352</t>
  </si>
  <si>
    <t>TCK-2025-00353</t>
  </si>
  <si>
    <t>TCK-2025-00354</t>
  </si>
  <si>
    <t>TCK-2025-00355</t>
  </si>
  <si>
    <t>TCK-2025-00356</t>
  </si>
  <si>
    <t>TCK-2025-00357</t>
  </si>
  <si>
    <t>TCK-2025-00358</t>
  </si>
  <si>
    <t>TCK-2025-00359</t>
  </si>
  <si>
    <t>TCK-2025-00360</t>
  </si>
  <si>
    <t>TCK-2025-00361</t>
  </si>
  <si>
    <t>TCK-2025-00362</t>
  </si>
  <si>
    <t>TCK-2025-00363</t>
  </si>
  <si>
    <t>TCK-2025-00364</t>
  </si>
  <si>
    <t>TCK-2025-00365</t>
  </si>
  <si>
    <t>TCK-2025-00366</t>
  </si>
  <si>
    <t>TCK-2025-00367</t>
  </si>
  <si>
    <t>TCK-2025-00368</t>
  </si>
  <si>
    <t>TCK-2025-00369</t>
  </si>
  <si>
    <t>TCK-2025-00370</t>
  </si>
  <si>
    <t>TCK-2025-00371</t>
  </si>
  <si>
    <t>TCK-2025-00372</t>
  </si>
  <si>
    <t>TCK-2025-00373</t>
  </si>
  <si>
    <t>TCK-2025-00374</t>
  </si>
  <si>
    <t>TCK-2025-00375</t>
  </si>
  <si>
    <t>TCK-2025-00376</t>
  </si>
  <si>
    <t>TCK-2025-00377</t>
  </si>
  <si>
    <t>TCK-2025-00378</t>
  </si>
  <si>
    <t>TCK-2025-00379</t>
  </si>
  <si>
    <t>TCK-2025-00380</t>
  </si>
  <si>
    <t>TCK-2025-00381</t>
  </si>
  <si>
    <t>TCK-2025-00382</t>
  </si>
  <si>
    <t>TCK-2025-00383</t>
  </si>
  <si>
    <t>TCK-2025-00384</t>
  </si>
  <si>
    <t>TCK-2025-00385</t>
  </si>
  <si>
    <t>TCK-2025-00386</t>
  </si>
  <si>
    <t>TCK-2025-00387</t>
  </si>
  <si>
    <t>TCK-2025-00388</t>
  </si>
  <si>
    <t>TCK-2025-00389</t>
  </si>
  <si>
    <t>TCK-2025-00390</t>
  </si>
  <si>
    <t>TCK-2025-00391</t>
  </si>
  <si>
    <t>TCK-2025-00392</t>
  </si>
  <si>
    <t>TCK-2025-00393</t>
  </si>
  <si>
    <t>TCK-2025-00394</t>
  </si>
  <si>
    <t>TCK-2025-00395</t>
  </si>
  <si>
    <t>TCK-2025-00396</t>
  </si>
  <si>
    <t>TCK-2025-00397</t>
  </si>
  <si>
    <t>TCK-2025-00398</t>
  </si>
  <si>
    <t>TCK-2025-00399</t>
  </si>
  <si>
    <t>TCK-2025-00400</t>
  </si>
  <si>
    <t>TCK-2025-00401</t>
  </si>
  <si>
    <t>TCK-2025-00402</t>
  </si>
  <si>
    <t>TCK-2025-00403</t>
  </si>
  <si>
    <t>TCK-2025-00404</t>
  </si>
  <si>
    <t>TCK-2025-00405</t>
  </si>
  <si>
    <t>TCK-2025-00406</t>
  </si>
  <si>
    <t>TCK-2025-00407</t>
  </si>
  <si>
    <t>TCK-2025-00408</t>
  </si>
  <si>
    <t>TCK-2025-00409</t>
  </si>
  <si>
    <t>TCK-2025-00410</t>
  </si>
  <si>
    <t>TCK-2025-00411</t>
  </si>
  <si>
    <t>TCK-2025-00412</t>
  </si>
  <si>
    <t>TCK-2025-00413</t>
  </si>
  <si>
    <t>TCK-2025-00414</t>
  </si>
  <si>
    <t>TCK-2025-00415</t>
  </si>
  <si>
    <t>TCK-2025-00416</t>
  </si>
  <si>
    <t>TCK-2025-00417</t>
  </si>
  <si>
    <t>TCK-2025-00418</t>
  </si>
  <si>
    <t>TCK-2025-00419</t>
  </si>
  <si>
    <t>TCK-2025-00420</t>
  </si>
  <si>
    <t>TCK-2025-00421</t>
  </si>
  <si>
    <t>TCK-2025-00422</t>
  </si>
  <si>
    <t>TCK-2025-00423</t>
  </si>
  <si>
    <t>TCK-2025-00424</t>
  </si>
  <si>
    <t>TCK-2025-00425</t>
  </si>
  <si>
    <t>TCK-2025-00426</t>
  </si>
  <si>
    <t>TCK-2025-00427</t>
  </si>
  <si>
    <t>TCK-2025-00428</t>
  </si>
  <si>
    <t>TCK-2025-00429</t>
  </si>
  <si>
    <t>TCK-2025-00430</t>
  </si>
  <si>
    <t>TCK-2025-00431</t>
  </si>
  <si>
    <t>TCK-2025-00432</t>
  </si>
  <si>
    <t>TCK-2025-00433</t>
  </si>
  <si>
    <t>TCK-2025-00434</t>
  </si>
  <si>
    <t>TCK-2025-00435</t>
  </si>
  <si>
    <t>TCK-2025-00436</t>
  </si>
  <si>
    <t>TCK-2025-00437</t>
  </si>
  <si>
    <t>TCK-2025-00438</t>
  </si>
  <si>
    <t>TCK-2025-00439</t>
  </si>
  <si>
    <t>TCK-2025-00440</t>
  </si>
  <si>
    <t>TCK-2025-00441</t>
  </si>
  <si>
    <t>TCK-2025-00442</t>
  </si>
  <si>
    <t>TCK-2025-00443</t>
  </si>
  <si>
    <t>TCK-2025-00444</t>
  </si>
  <si>
    <t>TCK-2025-00445</t>
  </si>
  <si>
    <t>TCK-2025-00446</t>
  </si>
  <si>
    <t>TCK-2025-00447</t>
  </si>
  <si>
    <t>TCK-2025-00448</t>
  </si>
  <si>
    <t>TCK-2025-00449</t>
  </si>
  <si>
    <t>TCK-2025-00450</t>
  </si>
  <si>
    <t>TCK-2025-00451</t>
  </si>
  <si>
    <t>TCK-2025-00452</t>
  </si>
  <si>
    <t>TCK-2025-00453</t>
  </si>
  <si>
    <t>TCK-2025-00454</t>
  </si>
  <si>
    <t>TCK-2025-00455</t>
  </si>
  <si>
    <t>TCK-2025-00456</t>
  </si>
  <si>
    <t>TCK-2025-00457</t>
  </si>
  <si>
    <t>TCK-2025-00458</t>
  </si>
  <si>
    <t>TCK-2025-00459</t>
  </si>
  <si>
    <t>TCK-2025-00460</t>
  </si>
  <si>
    <t>TCK-2025-00461</t>
  </si>
  <si>
    <t>TCK-2025-00462</t>
  </si>
  <si>
    <t>TCK-2025-00463</t>
  </si>
  <si>
    <t>TCK-2025-00464</t>
  </si>
  <si>
    <t>TCK-2025-00465</t>
  </si>
  <si>
    <t>TCK-2025-00466</t>
  </si>
  <si>
    <t>TCK-2025-00467</t>
  </si>
  <si>
    <t>TCK-2025-00468</t>
  </si>
  <si>
    <t>TCK-2025-00469</t>
  </si>
  <si>
    <t>TCK-2025-00470</t>
  </si>
  <si>
    <t>TCK-2025-00471</t>
  </si>
  <si>
    <t>TCK-2025-00472</t>
  </si>
  <si>
    <t>TCK-2025-00473</t>
  </si>
  <si>
    <t>TCK-2025-00474</t>
  </si>
  <si>
    <t>TCK-2025-00475</t>
  </si>
  <si>
    <t>TCK-2025-00476</t>
  </si>
  <si>
    <t>TCK-2025-00477</t>
  </si>
  <si>
    <t>TCK-2025-00478</t>
  </si>
  <si>
    <t>TCK-2025-00479</t>
  </si>
  <si>
    <t>TCK-2025-00480</t>
  </si>
  <si>
    <t>TCK-2025-00481</t>
  </si>
  <si>
    <t>TCK-2025-00482</t>
  </si>
  <si>
    <t>TCK-2025-00483</t>
  </si>
  <si>
    <t>TCK-2025-00484</t>
  </si>
  <si>
    <t>TCK-2025-00485</t>
  </si>
  <si>
    <t>TCK-2025-00486</t>
  </si>
  <si>
    <t>TCK-2025-00487</t>
  </si>
  <si>
    <t>TCK-2025-00488</t>
  </si>
  <si>
    <t>TCK-2025-00489</t>
  </si>
  <si>
    <t>TCK-2025-00490</t>
  </si>
  <si>
    <t>TCK-2025-00491</t>
  </si>
  <si>
    <t>TCK-2025-00492</t>
  </si>
  <si>
    <t>TCK-2025-00493</t>
  </si>
  <si>
    <t>TCK-2025-00494</t>
  </si>
  <si>
    <t>TCK-2025-00495</t>
  </si>
  <si>
    <t>TCK-2025-00496</t>
  </si>
  <si>
    <t>TCK-2025-00497</t>
  </si>
  <si>
    <t>TCK-2025-00498</t>
  </si>
  <si>
    <t>TCK-2025-00499</t>
  </si>
  <si>
    <t>TCK-2025-00500</t>
  </si>
  <si>
    <t>TCK-2025-00501</t>
  </si>
  <si>
    <t>TCK-2025-00502</t>
  </si>
  <si>
    <t>TCK-2025-00503</t>
  </si>
  <si>
    <t>TCK-2025-00504</t>
  </si>
  <si>
    <t>TCK-2025-00505</t>
  </si>
  <si>
    <t>TCK-2025-00506</t>
  </si>
  <si>
    <t>TCK-2025-00507</t>
  </si>
  <si>
    <t>TCK-2025-00508</t>
  </si>
  <si>
    <t>TCK-2025-00509</t>
  </si>
  <si>
    <t>TCK-2025-00510</t>
  </si>
  <si>
    <t>TCK-2025-00511</t>
  </si>
  <si>
    <t>TCK-2025-00512</t>
  </si>
  <si>
    <t>TCK-2025-00513</t>
  </si>
  <si>
    <t>TCK-2025-00514</t>
  </si>
  <si>
    <t>TCK-2025-00515</t>
  </si>
  <si>
    <t>TCK-2025-00516</t>
  </si>
  <si>
    <t>TCK-2025-00517</t>
  </si>
  <si>
    <t>TCK-2025-00518</t>
  </si>
  <si>
    <t>TCK-2025-00519</t>
  </si>
  <si>
    <t>TCK-2025-00520</t>
  </si>
  <si>
    <t>TCK-2025-00521</t>
  </si>
  <si>
    <t>TCK-2025-00522</t>
  </si>
  <si>
    <t>TCK-2025-00523</t>
  </si>
  <si>
    <t>TCK-2025-00524</t>
  </si>
  <si>
    <t>TCK-2025-00525</t>
  </si>
  <si>
    <t>TCK-2025-00526</t>
  </si>
  <si>
    <t>TCK-2025-00527</t>
  </si>
  <si>
    <t>TCK-2025-00528</t>
  </si>
  <si>
    <t>TCK-2025-00529</t>
  </si>
  <si>
    <t>TCK-2025-00530</t>
  </si>
  <si>
    <t>TCK-2025-00531</t>
  </si>
  <si>
    <t>TCK-2025-00532</t>
  </si>
  <si>
    <t>TCK-2025-00533</t>
  </si>
  <si>
    <t>TCK-2025-00534</t>
  </si>
  <si>
    <t>TCK-2025-00535</t>
  </si>
  <si>
    <t>TCK-2025-00536</t>
  </si>
  <si>
    <t>TCK-2025-00537</t>
  </si>
  <si>
    <t>TCK-2025-00538</t>
  </si>
  <si>
    <t>TCK-2025-00539</t>
  </si>
  <si>
    <t>TCK-2025-00540</t>
  </si>
  <si>
    <t>TCK-2025-00541</t>
  </si>
  <si>
    <t>TCK-2025-00542</t>
  </si>
  <si>
    <t>TCK-2025-00543</t>
  </si>
  <si>
    <t>TCK-2025-00544</t>
  </si>
  <si>
    <t>TCK-2025-00545</t>
  </si>
  <si>
    <t>TCK-2025-00546</t>
  </si>
  <si>
    <t>TCK-2025-00547</t>
  </si>
  <si>
    <t>TCK-2025-00548</t>
  </si>
  <si>
    <t>TCK-2025-00549</t>
  </si>
  <si>
    <t>TCK-2025-00550</t>
  </si>
  <si>
    <t>TCK-2025-00551</t>
  </si>
  <si>
    <t>TCK-2025-00552</t>
  </si>
  <si>
    <t>TCK-2025-00553</t>
  </si>
  <si>
    <t>TCK-2025-00554</t>
  </si>
  <si>
    <t>TCK-2025-00555</t>
  </si>
  <si>
    <t>TCK-2025-00556</t>
  </si>
  <si>
    <t>TCK-2025-00557</t>
  </si>
  <si>
    <t>TCK-2025-00558</t>
  </si>
  <si>
    <t>TCK-2025-00559</t>
  </si>
  <si>
    <t>TCK-2025-00560</t>
  </si>
  <si>
    <t>TCK-2025-00561</t>
  </si>
  <si>
    <t>TCK-2025-00562</t>
  </si>
  <si>
    <t>TCK-2025-00563</t>
  </si>
  <si>
    <t>TCK-2025-00564</t>
  </si>
  <si>
    <t>TCK-2025-00565</t>
  </si>
  <si>
    <t>TCK-2025-00566</t>
  </si>
  <si>
    <t>TCK-2025-00567</t>
  </si>
  <si>
    <t>TCK-2025-00568</t>
  </si>
  <si>
    <t>TCK-2025-00569</t>
  </si>
  <si>
    <t>TCK-2025-00570</t>
  </si>
  <si>
    <t>TCK-2025-00571</t>
  </si>
  <si>
    <t>TCK-2025-00572</t>
  </si>
  <si>
    <t>TCK-2025-00573</t>
  </si>
  <si>
    <t>TCK-2025-00574</t>
  </si>
  <si>
    <t>TCK-2025-00575</t>
  </si>
  <si>
    <t>TCK-2025-00576</t>
  </si>
  <si>
    <t>TCK-2025-00577</t>
  </si>
  <si>
    <t>TCK-2025-00578</t>
  </si>
  <si>
    <t>TCK-2025-00579</t>
  </si>
  <si>
    <t>TCK-2025-00580</t>
  </si>
  <si>
    <t>TCK-2025-00581</t>
  </si>
  <si>
    <t>TCK-2025-00582</t>
  </si>
  <si>
    <t>TCK-2025-00583</t>
  </si>
  <si>
    <t>TCK-2025-00584</t>
  </si>
  <si>
    <t>TCK-2025-00585</t>
  </si>
  <si>
    <t>TCK-2025-00586</t>
  </si>
  <si>
    <t>TCK-2025-00587</t>
  </si>
  <si>
    <t>TCK-2025-00588</t>
  </si>
  <si>
    <t>TCK-2025-00589</t>
  </si>
  <si>
    <t>TCK-2025-00590</t>
  </si>
  <si>
    <t>TCK-2025-00591</t>
  </si>
  <si>
    <t>TCK-2025-00592</t>
  </si>
  <si>
    <t>TCK-2025-00593</t>
  </si>
  <si>
    <t>TCK-2025-00594</t>
  </si>
  <si>
    <t>TCK-2025-00595</t>
  </si>
  <si>
    <t>TCK-2025-00596</t>
  </si>
  <si>
    <t>TCK-2025-00597</t>
  </si>
  <si>
    <t>TCK-2025-00598</t>
  </si>
  <si>
    <t>TCK-2025-00599</t>
  </si>
  <si>
    <t>TCK-2025-00600</t>
  </si>
  <si>
    <t>TCK-2025-00601</t>
  </si>
  <si>
    <t>TCK-2025-00602</t>
  </si>
  <si>
    <t>TCK-2025-00603</t>
  </si>
  <si>
    <t>TCK-2025-00604</t>
  </si>
  <si>
    <t>TCK-2025-00605</t>
  </si>
  <si>
    <t>TCK-2025-00606</t>
  </si>
  <si>
    <t>TCK-2025-00607</t>
  </si>
  <si>
    <t>TCK-2025-00608</t>
  </si>
  <si>
    <t>TCK-2025-00609</t>
  </si>
  <si>
    <t>TCK-2025-00610</t>
  </si>
  <si>
    <t>TCK-2025-00611</t>
  </si>
  <si>
    <t>TCK-2025-00612</t>
  </si>
  <si>
    <t>TCK-2025-00613</t>
  </si>
  <si>
    <t>TCK-2025-00614</t>
  </si>
  <si>
    <t>TCK-2025-00615</t>
  </si>
  <si>
    <t>TCK-2025-00616</t>
  </si>
  <si>
    <t>TCK-2025-00617</t>
  </si>
  <si>
    <t>TCK-2025-00618</t>
  </si>
  <si>
    <t>TCK-2025-00619</t>
  </si>
  <si>
    <t>TCK-2025-00620</t>
  </si>
  <si>
    <t>TCK-2025-00621</t>
  </si>
  <si>
    <t>TCK-2025-00622</t>
  </si>
  <si>
    <t>TCK-2025-00623</t>
  </si>
  <si>
    <t>TCK-2025-00624</t>
  </si>
  <si>
    <t>TCK-2025-00625</t>
  </si>
  <si>
    <t>TCK-2025-00626</t>
  </si>
  <si>
    <t>TCK-2025-00627</t>
  </si>
  <si>
    <t>TCK-2025-00628</t>
  </si>
  <si>
    <t>TCK-2025-00629</t>
  </si>
  <si>
    <t>TCK-2025-00630</t>
  </si>
  <si>
    <t>TCK-2025-00631</t>
  </si>
  <si>
    <t>TCK-2025-00632</t>
  </si>
  <si>
    <t>TCK-2025-00633</t>
  </si>
  <si>
    <t>TCK-2025-00634</t>
  </si>
  <si>
    <t>TCK-2025-00635</t>
  </si>
  <si>
    <t>TCK-2025-00636</t>
  </si>
  <si>
    <t>TCK-2025-00637</t>
  </si>
  <si>
    <t>TCK-2025-00638</t>
  </si>
  <si>
    <t>TCK-2025-00639</t>
  </si>
  <si>
    <t>TCK-2025-00640</t>
  </si>
  <si>
    <t>TCK-2025-00641</t>
  </si>
  <si>
    <t>TCK-2025-00642</t>
  </si>
  <si>
    <t>TCK-2025-00643</t>
  </si>
  <si>
    <t>TCK-2025-00644</t>
  </si>
  <si>
    <t>TCK-2025-00645</t>
  </si>
  <si>
    <t>TCK-2025-00646</t>
  </si>
  <si>
    <t>TCK-2025-00647</t>
  </si>
  <si>
    <t>TCK-2025-00648</t>
  </si>
  <si>
    <t>TCK-2025-00649</t>
  </si>
  <si>
    <t>TCK-2025-00650</t>
  </si>
  <si>
    <t>TCK-2025-00651</t>
  </si>
  <si>
    <t>TCK-2025-00652</t>
  </si>
  <si>
    <t>TCK-2025-00653</t>
  </si>
  <si>
    <t>TCK-2025-00654</t>
  </si>
  <si>
    <t>TCK-2025-00655</t>
  </si>
  <si>
    <t>TCK-2025-00656</t>
  </si>
  <si>
    <t>TCK-2025-00657</t>
  </si>
  <si>
    <t>TCK-2025-00658</t>
  </si>
  <si>
    <t>TCK-2025-00659</t>
  </si>
  <si>
    <t>TCK-2025-00660</t>
  </si>
  <si>
    <t>TCK-2025-00661</t>
  </si>
  <si>
    <t>TCK-2025-00662</t>
  </si>
  <si>
    <t>TCK-2025-00663</t>
  </si>
  <si>
    <t>TCK-2025-00664</t>
  </si>
  <si>
    <t>TCK-2025-00665</t>
  </si>
  <si>
    <t>TCK-2025-00666</t>
  </si>
  <si>
    <t>TCK-2025-00667</t>
  </si>
  <si>
    <t>TCK-2025-00668</t>
  </si>
  <si>
    <t>TCK-2025-00669</t>
  </si>
  <si>
    <t>TCK-2025-00670</t>
  </si>
  <si>
    <t>TCK-2025-00671</t>
  </si>
  <si>
    <t>TCK-2025-00672</t>
  </si>
  <si>
    <t>TCK-2025-00673</t>
  </si>
  <si>
    <t>TCK-2025-00674</t>
  </si>
  <si>
    <t>TCK-2025-00675</t>
  </si>
  <si>
    <t>TCK-2025-00676</t>
  </si>
  <si>
    <t>TCK-2025-00677</t>
  </si>
  <si>
    <t>TCK-2025-00678</t>
  </si>
  <si>
    <t>TCK-2025-00679</t>
  </si>
  <si>
    <t>TCK-2025-00680</t>
  </si>
  <si>
    <t>TCK-2025-00681</t>
  </si>
  <si>
    <t>TCK-2025-00682</t>
  </si>
  <si>
    <t>TCK-2025-00683</t>
  </si>
  <si>
    <t>TCK-2025-00684</t>
  </si>
  <si>
    <t>TCK-2025-00685</t>
  </si>
  <si>
    <t>TCK-2025-00686</t>
  </si>
  <si>
    <t>TCK-2025-00687</t>
  </si>
  <si>
    <t>TCK-2025-00688</t>
  </si>
  <si>
    <t>TCK-2025-00689</t>
  </si>
  <si>
    <t>TCK-2025-00690</t>
  </si>
  <si>
    <t>TCK-2025-00691</t>
  </si>
  <si>
    <t>TCK-2025-00692</t>
  </si>
  <si>
    <t>TCK-2025-00693</t>
  </si>
  <si>
    <t>TCK-2025-00694</t>
  </si>
  <si>
    <t>TCK-2025-00695</t>
  </si>
  <si>
    <t>TCK-2025-00696</t>
  </si>
  <si>
    <t>TCK-2025-00697</t>
  </si>
  <si>
    <t>TCK-2025-00698</t>
  </si>
  <si>
    <t>TCK-2025-00699</t>
  </si>
  <si>
    <t>TCK-2025-00700</t>
  </si>
  <si>
    <t>TCK-2025-00701</t>
  </si>
  <si>
    <t>TCK-2025-00702</t>
  </si>
  <si>
    <t>TCK-2025-00703</t>
  </si>
  <si>
    <t>TCK-2025-00704</t>
  </si>
  <si>
    <t>TCK-2025-00705</t>
  </si>
  <si>
    <t>TCK-2025-00706</t>
  </si>
  <si>
    <t>TCK-2025-00707</t>
  </si>
  <si>
    <t>TCK-2025-00708</t>
  </si>
  <si>
    <t>TCK-2025-00709</t>
  </si>
  <si>
    <t>TCK-2025-00710</t>
  </si>
  <si>
    <t>TCK-2025-00711</t>
  </si>
  <si>
    <t>TCK-2025-00712</t>
  </si>
  <si>
    <t>TCK-2025-00713</t>
  </si>
  <si>
    <t>TCK-2025-00714</t>
  </si>
  <si>
    <t>TCK-2025-00715</t>
  </si>
  <si>
    <t>TCK-2025-00716</t>
  </si>
  <si>
    <t>TCK-2025-00717</t>
  </si>
  <si>
    <t>TCK-2025-00718</t>
  </si>
  <si>
    <t>TCK-2025-00719</t>
  </si>
  <si>
    <t>TCK-2025-00720</t>
  </si>
  <si>
    <t>TCK-2025-00721</t>
  </si>
  <si>
    <t>TCK-2025-00722</t>
  </si>
  <si>
    <t>TCK-2025-00723</t>
  </si>
  <si>
    <t>TCK-2025-00724</t>
  </si>
  <si>
    <t>TCK-2025-00725</t>
  </si>
  <si>
    <t>TCK-2025-00726</t>
  </si>
  <si>
    <t>TCK-2025-00727</t>
  </si>
  <si>
    <t>TCK-2025-00728</t>
  </si>
  <si>
    <t>TCK-2025-00729</t>
  </si>
  <si>
    <t>TCK-2025-00730</t>
  </si>
  <si>
    <t>TCK-2025-00731</t>
  </si>
  <si>
    <t>TCK-2025-00732</t>
  </si>
  <si>
    <t>TCK-2025-00733</t>
  </si>
  <si>
    <t>TCK-2025-00734</t>
  </si>
  <si>
    <t>TCK-2025-00735</t>
  </si>
  <si>
    <t>TCK-2025-00736</t>
  </si>
  <si>
    <t>TCK-2025-00737</t>
  </si>
  <si>
    <t>TCK-2025-00738</t>
  </si>
  <si>
    <t>TCK-2025-00739</t>
  </si>
  <si>
    <t>TCK-2025-00740</t>
  </si>
  <si>
    <t>TCK-2025-00741</t>
  </si>
  <si>
    <t>TCK-2025-00742</t>
  </si>
  <si>
    <t>TCK-2025-00743</t>
  </si>
  <si>
    <t>TCK-2025-00744</t>
  </si>
  <si>
    <t>TCK-2025-00745</t>
  </si>
  <si>
    <t>TCK-2025-00746</t>
  </si>
  <si>
    <t>TCK-2025-00747</t>
  </si>
  <si>
    <t>TCK-2025-00748</t>
  </si>
  <si>
    <t>TCK-2025-00749</t>
  </si>
  <si>
    <t>TCK-2025-00750</t>
  </si>
  <si>
    <t>TCK-2025-00751</t>
  </si>
  <si>
    <t>TCK-2025-00752</t>
  </si>
  <si>
    <t>TCK-2025-00753</t>
  </si>
  <si>
    <t>TCK-2025-00754</t>
  </si>
  <si>
    <t>TCK-2025-00755</t>
  </si>
  <si>
    <t>TCK-2025-00756</t>
  </si>
  <si>
    <t>TCK-2025-00757</t>
  </si>
  <si>
    <t>TCK-2025-00758</t>
  </si>
  <si>
    <t>TCK-2025-00759</t>
  </si>
  <si>
    <t>TCK-2025-00760</t>
  </si>
  <si>
    <t>TCK-2025-00761</t>
  </si>
  <si>
    <t>TCK-2025-00762</t>
  </si>
  <si>
    <t>TCK-2025-00763</t>
  </si>
  <si>
    <t>TCK-2025-00764</t>
  </si>
  <si>
    <t>TCK-2025-00765</t>
  </si>
  <si>
    <t>TCK-2025-00766</t>
  </si>
  <si>
    <t>TCK-2025-00767</t>
  </si>
  <si>
    <t>TCK-2025-00768</t>
  </si>
  <si>
    <t>TCK-2025-00769</t>
  </si>
  <si>
    <t>TCK-2025-00770</t>
  </si>
  <si>
    <t>TCK-2025-00771</t>
  </si>
  <si>
    <t>TCK-2025-00772</t>
  </si>
  <si>
    <t>TCK-2025-00773</t>
  </si>
  <si>
    <t>TCK-2025-00774</t>
  </si>
  <si>
    <t>TCK-2025-00775</t>
  </si>
  <si>
    <t>TCK-2025-00776</t>
  </si>
  <si>
    <t>TCK-2025-00777</t>
  </si>
  <si>
    <t>TCK-2025-00778</t>
  </si>
  <si>
    <t>TCK-2025-00779</t>
  </si>
  <si>
    <t>TCK-2025-00780</t>
  </si>
  <si>
    <t>TCK-2025-00781</t>
  </si>
  <si>
    <t>TCK-2025-00782</t>
  </si>
  <si>
    <t>TCK-2025-00783</t>
  </si>
  <si>
    <t>TCK-2025-00784</t>
  </si>
  <si>
    <t>TCK-2025-00785</t>
  </si>
  <si>
    <t>TCK-2025-00786</t>
  </si>
  <si>
    <t>TCK-2025-00787</t>
  </si>
  <si>
    <t>TCK-2025-00788</t>
  </si>
  <si>
    <t>TCK-2025-00789</t>
  </si>
  <si>
    <t>TCK-2025-00790</t>
  </si>
  <si>
    <t>TCK-2025-00791</t>
  </si>
  <si>
    <t>TCK-2025-00792</t>
  </si>
  <si>
    <t>TCK-2025-00793</t>
  </si>
  <si>
    <t>TCK-2025-00794</t>
  </si>
  <si>
    <t>TCK-2025-00795</t>
  </si>
  <si>
    <t>TCK-2025-00796</t>
  </si>
  <si>
    <t>TCK-2025-00797</t>
  </si>
  <si>
    <t>TCK-2025-00798</t>
  </si>
  <si>
    <t>TCK-2025-00799</t>
  </si>
  <si>
    <t>TCK-2025-00800</t>
  </si>
  <si>
    <t>TCK-2025-00801</t>
  </si>
  <si>
    <t>TCK-2025-00802</t>
  </si>
  <si>
    <t>TCK-2025-00803</t>
  </si>
  <si>
    <t>TCK-2025-00804</t>
  </si>
  <si>
    <t>TCK-2025-00805</t>
  </si>
  <si>
    <t>TCK-2025-00806</t>
  </si>
  <si>
    <t>TCK-2025-00807</t>
  </si>
  <si>
    <t>TCK-2025-00808</t>
  </si>
  <si>
    <t>TCK-2025-00809</t>
  </si>
  <si>
    <t>TCK-2025-00810</t>
  </si>
  <si>
    <t>TCK-2025-00811</t>
  </si>
  <si>
    <t>TCK-2025-00812</t>
  </si>
  <si>
    <t>TCK-2025-00813</t>
  </si>
  <si>
    <t>TCK-2025-00814</t>
  </si>
  <si>
    <t>TCK-2025-00815</t>
  </si>
  <si>
    <t>TCK-2025-00816</t>
  </si>
  <si>
    <t>TCK-2025-00817</t>
  </si>
  <si>
    <t>TCK-2025-00818</t>
  </si>
  <si>
    <t>TCK-2025-00819</t>
  </si>
  <si>
    <t>TCK-2025-00820</t>
  </si>
  <si>
    <t>TCK-2025-00821</t>
  </si>
  <si>
    <t>TCK-2025-00822</t>
  </si>
  <si>
    <t>TCK-2025-00823</t>
  </si>
  <si>
    <t>TCK-2025-00824</t>
  </si>
  <si>
    <t>TCK-2025-00825</t>
  </si>
  <si>
    <t>TCK-2025-00826</t>
  </si>
  <si>
    <t>TCK-2025-00827</t>
  </si>
  <si>
    <t>TCK-2025-00828</t>
  </si>
  <si>
    <t>TCK-2025-00829</t>
  </si>
  <si>
    <t>TCK-2025-00830</t>
  </si>
  <si>
    <t>TCK-2025-00831</t>
  </si>
  <si>
    <t>TCK-2025-00832</t>
  </si>
  <si>
    <t>TCK-2025-00833</t>
  </si>
  <si>
    <t>TCK-2025-00834</t>
  </si>
  <si>
    <t>TCK-2025-00835</t>
  </si>
  <si>
    <t>TCK-2025-00836</t>
  </si>
  <si>
    <t>TCK-2025-00837</t>
  </si>
  <si>
    <t>TCK-2025-00838</t>
  </si>
  <si>
    <t>TCK-2025-00839</t>
  </si>
  <si>
    <t>TCK-2025-00840</t>
  </si>
  <si>
    <t>TCK-2025-00841</t>
  </si>
  <si>
    <t>TCK-2025-00842</t>
  </si>
  <si>
    <t>TCK-2025-00843</t>
  </si>
  <si>
    <t>TCK-2025-00844</t>
  </si>
  <si>
    <t>TCK-2025-00845</t>
  </si>
  <si>
    <t>TCK-2025-00846</t>
  </si>
  <si>
    <t>TCK-2025-00847</t>
  </si>
  <si>
    <t>TCK-2025-00848</t>
  </si>
  <si>
    <t>TCK-2025-00849</t>
  </si>
  <si>
    <t>TCK-2025-00850</t>
  </si>
  <si>
    <t>TCK-2025-00851</t>
  </si>
  <si>
    <t>TCK-2025-00852</t>
  </si>
  <si>
    <t>TCK-2025-00853</t>
  </si>
  <si>
    <t>TCK-2025-00854</t>
  </si>
  <si>
    <t>TCK-2025-00855</t>
  </si>
  <si>
    <t>TCK-2025-00856</t>
  </si>
  <si>
    <t>TCK-2025-00857</t>
  </si>
  <si>
    <t>TCK-2025-00858</t>
  </si>
  <si>
    <t>TCK-2025-00859</t>
  </si>
  <si>
    <t>TCK-2025-00860</t>
  </si>
  <si>
    <t>TCK-2025-00861</t>
  </si>
  <si>
    <t>TCK-2025-00862</t>
  </si>
  <si>
    <t>TCK-2025-00863</t>
  </si>
  <si>
    <t>TCK-2025-00864</t>
  </si>
  <si>
    <t>TCK-2025-00865</t>
  </si>
  <si>
    <t>TCK-2025-00866</t>
  </si>
  <si>
    <t>TCK-2025-00867</t>
  </si>
  <si>
    <t>TCK-2025-00868</t>
  </si>
  <si>
    <t>TCK-2025-00869</t>
  </si>
  <si>
    <t>TCK-2025-00870</t>
  </si>
  <si>
    <t>TCK-2025-00871</t>
  </si>
  <si>
    <t>TCK-2025-00872</t>
  </si>
  <si>
    <t>TCK-2025-00873</t>
  </si>
  <si>
    <t>TCK-2025-00874</t>
  </si>
  <si>
    <t>TCK-2025-00875</t>
  </si>
  <si>
    <t>TCK-2025-00876</t>
  </si>
  <si>
    <t>TCK-2025-00877</t>
  </si>
  <si>
    <t>TCK-2025-00878</t>
  </si>
  <si>
    <t>TCK-2025-00879</t>
  </si>
  <si>
    <t>TCK-2025-00880</t>
  </si>
  <si>
    <t>TCK-2025-00881</t>
  </si>
  <si>
    <t>TCK-2025-00882</t>
  </si>
  <si>
    <t>TCK-2025-00883</t>
  </si>
  <si>
    <t>TCK-2025-00884</t>
  </si>
  <si>
    <t>TCK-2025-00885</t>
  </si>
  <si>
    <t>TCK-2025-00886</t>
  </si>
  <si>
    <t>TCK-2025-00887</t>
  </si>
  <si>
    <t>TCK-2025-00888</t>
  </si>
  <si>
    <t>TCK-2025-00889</t>
  </si>
  <si>
    <t>TCK-2025-00890</t>
  </si>
  <si>
    <t>TCK-2025-00891</t>
  </si>
  <si>
    <t>TCK-2025-00892</t>
  </si>
  <si>
    <t>TCK-2025-00893</t>
  </si>
  <si>
    <t>TCK-2025-00894</t>
  </si>
  <si>
    <t>TCK-2025-00895</t>
  </si>
  <si>
    <t>TCK-2025-00896</t>
  </si>
  <si>
    <t>TCK-2025-00897</t>
  </si>
  <si>
    <t>TCK-2025-00898</t>
  </si>
  <si>
    <t>TCK-2025-00899</t>
  </si>
  <si>
    <t>TCK-2025-00900</t>
  </si>
  <si>
    <t>TCK-2025-00901</t>
  </si>
  <si>
    <t>TCK-2025-00902</t>
  </si>
  <si>
    <t>TCK-2025-00903</t>
  </si>
  <si>
    <t>TCK-2025-00904</t>
  </si>
  <si>
    <t>TCK-2025-00905</t>
  </si>
  <si>
    <t>TCK-2025-00906</t>
  </si>
  <si>
    <t>TCK-2025-00907</t>
  </si>
  <si>
    <t>TCK-2025-00908</t>
  </si>
  <si>
    <t>TCK-2025-00909</t>
  </si>
  <si>
    <t>TCK-2025-00910</t>
  </si>
  <si>
    <t>TCK-2025-00911</t>
  </si>
  <si>
    <t>TCK-2025-00912</t>
  </si>
  <si>
    <t>TCK-2025-00913</t>
  </si>
  <si>
    <t>TCK-2025-00914</t>
  </si>
  <si>
    <t>TCK-2025-00915</t>
  </si>
  <si>
    <t>TCK-2025-00916</t>
  </si>
  <si>
    <t>TCK-2025-00917</t>
  </si>
  <si>
    <t>TCK-2025-00918</t>
  </si>
  <si>
    <t>TCK-2025-00919</t>
  </si>
  <si>
    <t>TCK-2025-00920</t>
  </si>
  <si>
    <t>TCK-2025-00921</t>
  </si>
  <si>
    <t>TCK-2025-00922</t>
  </si>
  <si>
    <t>TCK-2025-00923</t>
  </si>
  <si>
    <t>TCK-2025-00924</t>
  </si>
  <si>
    <t>TCK-2025-00925</t>
  </si>
  <si>
    <t>TCK-2025-00926</t>
  </si>
  <si>
    <t>TCK-2025-00927</t>
  </si>
  <si>
    <t>TCK-2025-00928</t>
  </si>
  <si>
    <t>TCK-2025-00929</t>
  </si>
  <si>
    <t>TCK-2025-00930</t>
  </si>
  <si>
    <t>TCK-2025-00931</t>
  </si>
  <si>
    <t>TCK-2025-00932</t>
  </si>
  <si>
    <t>TCK-2025-00933</t>
  </si>
  <si>
    <t>TCK-2025-00934</t>
  </si>
  <si>
    <t>TCK-2025-00935</t>
  </si>
  <si>
    <t>TCK-2025-00936</t>
  </si>
  <si>
    <t>TCK-2025-00937</t>
  </si>
  <si>
    <t>TCK-2025-00938</t>
  </si>
  <si>
    <t>TCK-2025-00939</t>
  </si>
  <si>
    <t>TCK-2025-00940</t>
  </si>
  <si>
    <t>TCK-2025-00941</t>
  </si>
  <si>
    <t>TCK-2025-00942</t>
  </si>
  <si>
    <t>TCK-2025-00943</t>
  </si>
  <si>
    <t>TCK-2025-00944</t>
  </si>
  <si>
    <t>TCK-2025-00945</t>
  </si>
  <si>
    <t>TCK-2025-00946</t>
  </si>
  <si>
    <t>TCK-2025-00947</t>
  </si>
  <si>
    <t>TCK-2025-00948</t>
  </si>
  <si>
    <t>TCK-2025-00949</t>
  </si>
  <si>
    <t>TCK-2025-00950</t>
  </si>
  <si>
    <t>TCK-2025-00951</t>
  </si>
  <si>
    <t>TCK-2025-00952</t>
  </si>
  <si>
    <t>TCK-2025-00953</t>
  </si>
  <si>
    <t>TCK-2025-00954</t>
  </si>
  <si>
    <t>TCK-2025-00955</t>
  </si>
  <si>
    <t>TCK-2025-00956</t>
  </si>
  <si>
    <t>TCK-2025-00957</t>
  </si>
  <si>
    <t>TCK-2025-00958</t>
  </si>
  <si>
    <t>TCK-2025-00959</t>
  </si>
  <si>
    <t>TCK-2025-00960</t>
  </si>
  <si>
    <t>TCK-2025-00961</t>
  </si>
  <si>
    <t>TCK-2025-00962</t>
  </si>
  <si>
    <t>TCK-2025-00963</t>
  </si>
  <si>
    <t>TCK-2025-00964</t>
  </si>
  <si>
    <t>TCK-2025-00965</t>
  </si>
  <si>
    <t>TCK-2025-00966</t>
  </si>
  <si>
    <t>TCK-2025-00967</t>
  </si>
  <si>
    <t>TCK-2025-00968</t>
  </si>
  <si>
    <t>TCK-2025-00969</t>
  </si>
  <si>
    <t>TCK-2025-00970</t>
  </si>
  <si>
    <t>TCK-2025-00971</t>
  </si>
  <si>
    <t>TCK-2025-00972</t>
  </si>
  <si>
    <t>TCK-2025-00973</t>
  </si>
  <si>
    <t>TCK-2025-00974</t>
  </si>
  <si>
    <t>TCK-2025-00975</t>
  </si>
  <si>
    <t>TCK-2025-00976</t>
  </si>
  <si>
    <t>TCK-2025-00977</t>
  </si>
  <si>
    <t>TCK-2025-00978</t>
  </si>
  <si>
    <t>TCK-2025-00979</t>
  </si>
  <si>
    <t>TCK-2025-00980</t>
  </si>
  <si>
    <t>TCK-2025-00981</t>
  </si>
  <si>
    <t>TCK-2025-00982</t>
  </si>
  <si>
    <t>TCK-2025-00983</t>
  </si>
  <si>
    <t>TCK-2025-00984</t>
  </si>
  <si>
    <t>TCK-2025-00985</t>
  </si>
  <si>
    <t>TCK-2025-00986</t>
  </si>
  <si>
    <t>TCK-2025-00987</t>
  </si>
  <si>
    <t>TCK-2025-00988</t>
  </si>
  <si>
    <t>TCK-2025-00989</t>
  </si>
  <si>
    <t>TCK-2025-00990</t>
  </si>
  <si>
    <t>TCK-2025-00991</t>
  </si>
  <si>
    <t>TCK-2025-00992</t>
  </si>
  <si>
    <t>TCK-2025-00993</t>
  </si>
  <si>
    <t>TCK-2025-00994</t>
  </si>
  <si>
    <t>TCK-2025-00995</t>
  </si>
  <si>
    <t>TCK-2025-00996</t>
  </si>
  <si>
    <t>TCK-2025-00997</t>
  </si>
  <si>
    <t>TCK-2025-00998</t>
  </si>
  <si>
    <t>TCK-2025-00999</t>
  </si>
  <si>
    <t>TCK-2025-01000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</si>
</sst>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#,##0.0"/>
  </numFmts>
  <fonts count="6" x14ac:knownFonts="1">
    <font>
      <sz val="11"/>
      <color theme="1"/>
      <name val="Calibri"/>
      <family val="2"/>
      <charset val="1"/>
    </font>
    <font>
      <b/>
      <sz val="14"/>
      <color rgb="FF6B2D5C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B2D5C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166" fontId="3" fillId="0" borderId="1" xfId="0" applyNumberFormat="1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2D5C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im_Plan" displayName="Dim_Plan" ref="A1:G16" totalsRowShown="0">
  <autoFilter ref="A1:G16" xr:uid="{00000000-0009-0000-0100-000003000000}"/>
  <tableColumns count="7">
    <tableColumn id="1" xr3:uid="{00000000-0010-0000-0000-000001000000}" name="PlanID"/>
    <tableColumn id="2" xr3:uid="{00000000-0010-0000-0000-000002000000}" name="PlanName"/>
    <tableColumn id="3" xr3:uid="{00000000-0010-0000-0000-000003000000}" name="PlanType"/>
    <tableColumn id="4" xr3:uid="{00000000-0010-0000-0000-000004000000}" name="MonthlyFeeBDT"/>
    <tableColumn id="5" xr3:uid="{00000000-0010-0000-0000-000005000000}" name="DataAllowanceGB"/>
    <tableColumn id="6" xr3:uid="{00000000-0010-0000-0000-000006000000}" name="VoiceMinutes"/>
    <tableColumn id="7" xr3:uid="{00000000-0010-0000-0000-000007000000}" name="TargetSeg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im_Region" displayName="Dim_Region" ref="A1:E16" totalsRowShown="0">
  <autoFilter ref="A1:E16" xr:uid="{00000000-0009-0000-0100-000004000000}"/>
  <tableColumns count="5">
    <tableColumn id="1" xr3:uid="{00000000-0010-0000-0100-000001000000}" name="RegionID"/>
    <tableColumn id="2" xr3:uid="{00000000-0010-0000-0100-000002000000}" name="RegionName"/>
    <tableColumn id="3" xr3:uid="{00000000-0010-0000-0100-000003000000}" name="Division"/>
    <tableColumn id="4" xr3:uid="{00000000-0010-0000-0100-000004000000}" name="AreaType"/>
    <tableColumn id="5" xr3:uid="{00000000-0010-0000-0100-000005000000}" name="PopulationDensit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Dim_ServiceType" displayName="Dim_ServiceType" ref="A1:E16" totalsRowShown="0">
  <autoFilter ref="A1:E16" xr:uid="{00000000-0009-0000-0100-000005000000}"/>
  <tableColumns count="5">
    <tableColumn id="1" xr3:uid="{00000000-0010-0000-0200-000001000000}" name="ServiceTypeID"/>
    <tableColumn id="2" xr3:uid="{00000000-0010-0000-0200-000002000000}" name="CategoryName"/>
    <tableColumn id="3" xr3:uid="{00000000-0010-0000-0200-000003000000}" name="SubCategory"/>
    <tableColumn id="4" xr3:uid="{00000000-0010-0000-0200-000004000000}" name="Priority"/>
    <tableColumn id="5" xr3:uid="{00000000-0010-0000-0200-000005000000}" name="SLA_Hour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Dim_Agent" displayName="Dim_Agent" ref="A1:F16" totalsRowShown="0">
  <autoFilter ref="A1:F16" xr:uid="{00000000-0009-0000-0100-000001000000}"/>
  <tableColumns count="6">
    <tableColumn id="1" xr3:uid="{00000000-0010-0000-0300-000001000000}" name="AgentID"/>
    <tableColumn id="2" xr3:uid="{00000000-0010-0000-0300-000002000000}" name="AgentName"/>
    <tableColumn id="3" xr3:uid="{00000000-0010-0000-0300-000003000000}" name="Team"/>
    <tableColumn id="4" xr3:uid="{00000000-0010-0000-0300-000004000000}" name="Shift"/>
    <tableColumn id="5" xr3:uid="{00000000-0010-0000-0300-000005000000}" name="ExperienceYears"/>
    <tableColumn id="6" xr3:uid="{00000000-0010-0000-0300-000006000000}" name="AgentRating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Dim_Date" displayName="Dim_Date" ref="A1:I366" totalsRowShown="0">
  <autoFilter ref="A1:I366" xr:uid="{00000000-0009-0000-0100-000002000000}"/>
  <tableColumns count="9">
    <tableColumn id="1" xr3:uid="{00000000-0010-0000-0400-000001000000}" name="DateID"/>
    <tableColumn id="2" xr3:uid="{00000000-0010-0000-0400-000002000000}" name="Date"/>
    <tableColumn id="3" xr3:uid="{00000000-0010-0000-0400-000003000000}" name="Year"/>
    <tableColumn id="4" xr3:uid="{00000000-0010-0000-0400-000004000000}" name="Quarter"/>
    <tableColumn id="5" xr3:uid="{00000000-0010-0000-0400-000005000000}" name="Month"/>
    <tableColumn id="6" xr3:uid="{00000000-0010-0000-0400-000006000000}" name="MonthName"/>
    <tableColumn id="7" xr3:uid="{00000000-0010-0000-0400-000007000000}" name="WeekOfYear"/>
    <tableColumn id="8" xr3:uid="{00000000-0010-0000-0400-000008000000}" name="DayOfWeek"/>
    <tableColumn id="9" xr3:uid="{00000000-0010-0000-0400-000009000000}" name="IsWeeken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_Ticket" displayName="Fact_Ticket" ref="A1:R1001" totalsRowShown="0">
  <autoFilter ref="A1:R1001" xr:uid="{00000000-0009-0000-0100-000006000000}"/>
  <tableColumns count="18">
    <tableColumn id="1" xr3:uid="{00000000-0010-0000-0500-000001000000}" name="TicketID"/>
    <tableColumn id="2" xr3:uid="{00000000-0010-0000-0500-000002000000}" name="TicketNumber"/>
    <tableColumn id="3" xr3:uid="{00000000-0010-0000-0500-000003000000}" name="PlanID"/>
    <tableColumn id="4" xr3:uid="{00000000-0010-0000-0500-000004000000}" name="RegionID"/>
    <tableColumn id="5" xr3:uid="{00000000-0010-0000-0500-000005000000}" name="ServiceTypeID"/>
    <tableColumn id="6" xr3:uid="{00000000-0010-0000-0500-000006000000}" name="AgentID"/>
    <tableColumn id="7" xr3:uid="{00000000-0010-0000-0500-000007000000}" name="RaisedDateTime"/>
    <tableColumn id="8" xr3:uid="{00000000-0010-0000-0500-000008000000}" name="AssignedDateTime"/>
    <tableColumn id="9" xr3:uid="{00000000-0010-0000-0500-000009000000}" name="ResolvedDateTime"/>
    <tableColumn id="10" xr3:uid="{00000000-0010-0000-0500-00000A000000}" name="ClosedDateTime"/>
    <tableColumn id="11" xr3:uid="{00000000-0010-0000-0500-00000B000000}" name="Channel"/>
    <tableColumn id="12" xr3:uid="{00000000-0010-0000-0500-00000C000000}" name="AssignmentDelayHours"/>
    <tableColumn id="13" xr3:uid="{00000000-0010-0000-0500-00000D000000}" name="ResolutionTimeHours"/>
    <tableColumn id="14" xr3:uid="{00000000-0010-0000-0500-00000E000000}" name="TotalCycleTimeHours"/>
    <tableColumn id="15" xr3:uid="{00000000-0010-0000-0500-00000F000000}" name="SLABreachFlag"/>
    <tableColumn id="16" xr3:uid="{00000000-0010-0000-0500-000010000000}" name="TicketStatus"/>
    <tableColumn id="17" xr3:uid="{00000000-0010-0000-0500-000011000000}" name="CustomerSatisfactionScore"/>
    <tableColumn id="18" xr3:uid="{00000000-0010-0000-0500-000012000000}" name="Reopened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topLeftCell="A14" zoomScaleNormal="100" workbookViewId="0">
      <selection activeCell="C6" sqref="C6"/>
    </sheetView>
  </sheetViews>
  <sheetFormatPr defaultColWidth="8.7265625" defaultRowHeight="14.5" x14ac:dyDescent="0.35"/>
  <cols>
    <col min="1" max="1" width="2" customWidth="1"/>
    <col min="2" max="2" width="42" customWidth="1"/>
    <col min="3" max="3" width="100" customWidth="1"/>
  </cols>
  <sheetData>
    <row r="2" spans="2:3" ht="18" x14ac:dyDescent="0.4">
      <c r="B2" s="1" t="s">
        <v>0</v>
      </c>
    </row>
    <row r="3" spans="2:3" ht="15.75" customHeight="1" x14ac:dyDescent="0.35">
      <c r="B3" s="2" t="s">
        <v>1</v>
      </c>
      <c r="C3" s="3"/>
    </row>
    <row r="4" spans="2:3" ht="30" customHeight="1" x14ac:dyDescent="0.35">
      <c r="B4" s="14" t="s">
        <v>2</v>
      </c>
      <c r="C4" s="15" t="s">
        <v>3</v>
      </c>
    </row>
    <row r="5" spans="2:3" ht="30" customHeight="1" x14ac:dyDescent="0.35">
      <c r="B5" s="14" t="s">
        <v>4</v>
      </c>
      <c r="C5" s="15" t="s">
        <v>5</v>
      </c>
    </row>
    <row r="6" spans="2:3" ht="30" customHeight="1" x14ac:dyDescent="0.35">
      <c r="B6" s="14" t="s">
        <v>6</v>
      </c>
      <c r="C6" s="15" t="s">
        <v>7</v>
      </c>
    </row>
    <row r="7" spans="2:3" ht="30" customHeight="1" x14ac:dyDescent="0.35">
      <c r="B7" s="14" t="s">
        <v>8</v>
      </c>
      <c r="C7" s="15" t="s">
        <v>9</v>
      </c>
    </row>
    <row r="8" spans="2:3" ht="30" customHeight="1" x14ac:dyDescent="0.35">
      <c r="B8" s="14" t="s">
        <v>10</v>
      </c>
      <c r="C8" s="15" t="s">
        <v>11</v>
      </c>
    </row>
    <row r="9" spans="2:3" ht="30" customHeight="1" x14ac:dyDescent="0.35">
      <c r="B9" s="14" t="s">
        <v>12</v>
      </c>
      <c r="C9" s="15" t="s">
        <v>13</v>
      </c>
    </row>
    <row r="10" spans="2:3" ht="15.75" customHeight="1" x14ac:dyDescent="0.35">
      <c r="B10" s="4"/>
      <c r="C10" s="3"/>
    </row>
    <row r="11" spans="2:3" ht="15.75" customHeight="1" x14ac:dyDescent="0.35">
      <c r="B11" s="2" t="s">
        <v>14</v>
      </c>
      <c r="C11" s="3"/>
    </row>
    <row r="12" spans="2:3" ht="30" customHeight="1" x14ac:dyDescent="0.35">
      <c r="B12" s="13" t="s">
        <v>15</v>
      </c>
      <c r="C12" s="13"/>
    </row>
    <row r="13" spans="2:3" ht="30" customHeight="1" x14ac:dyDescent="0.35">
      <c r="B13" s="13" t="s">
        <v>16</v>
      </c>
      <c r="C13" s="13"/>
    </row>
    <row r="14" spans="2:3" ht="30" customHeight="1" x14ac:dyDescent="0.35">
      <c r="B14" s="13" t="s">
        <v>17</v>
      </c>
      <c r="C14" s="13"/>
    </row>
    <row r="15" spans="2:3" ht="15.75" customHeight="1" x14ac:dyDescent="0.35">
      <c r="B15" s="4"/>
      <c r="C15" s="3"/>
    </row>
    <row r="16" spans="2:3" ht="15.75" customHeight="1" x14ac:dyDescent="0.35">
      <c r="B16" s="2" t="s">
        <v>18</v>
      </c>
      <c r="C16" s="3"/>
    </row>
    <row r="17" spans="2:3" ht="30" customHeight="1" x14ac:dyDescent="0.35">
      <c r="B17" s="11" t="s">
        <v>19</v>
      </c>
      <c r="C17" s="12" t="s">
        <v>20</v>
      </c>
    </row>
    <row r="18" spans="2:3" ht="30" customHeight="1" x14ac:dyDescent="0.35">
      <c r="B18" s="11" t="s">
        <v>21</v>
      </c>
      <c r="C18" s="12" t="s">
        <v>22</v>
      </c>
    </row>
    <row r="19" spans="2:3" ht="30" customHeight="1" x14ac:dyDescent="0.35">
      <c r="B19" s="11" t="s">
        <v>23</v>
      </c>
      <c r="C19" s="12" t="s">
        <v>24</v>
      </c>
    </row>
    <row r="20" spans="2:3" ht="30" customHeight="1" x14ac:dyDescent="0.35">
      <c r="B20" s="11" t="s">
        <v>25</v>
      </c>
      <c r="C20" s="12" t="s">
        <v>26</v>
      </c>
    </row>
  </sheetData>
  <mergeCells count="3">
    <mergeCell ref="B12:C12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7265625" defaultRowHeight="14.5" x14ac:dyDescent="0.35"/>
  <cols>
    <col min="1" max="1" width="10" customWidth="1"/>
    <col min="2" max="2" width="25" customWidth="1"/>
    <col min="3" max="3" width="12" customWidth="1"/>
    <col min="4" max="4" width="16" customWidth="1"/>
    <col min="5" max="5" width="18" customWidth="1"/>
    <col min="6" max="6" width="15" customWidth="1"/>
    <col min="7" max="7" width="17" customWidth="1"/>
  </cols>
  <sheetData>
    <row r="1" spans="1:7" x14ac:dyDescent="0.3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</row>
    <row r="2" spans="1:7" x14ac:dyDescent="0.35">
      <c r="A2" s="6">
        <v>1</v>
      </c>
      <c r="B2" s="7" t="s">
        <v>34</v>
      </c>
      <c r="C2" s="7" t="s">
        <v>35</v>
      </c>
      <c r="D2" s="6">
        <v>99</v>
      </c>
      <c r="E2" s="6">
        <v>2</v>
      </c>
      <c r="F2" s="6">
        <v>200</v>
      </c>
      <c r="G2" s="7" t="s">
        <v>36</v>
      </c>
    </row>
    <row r="3" spans="1:7" x14ac:dyDescent="0.35">
      <c r="A3" s="6">
        <v>2</v>
      </c>
      <c r="B3" s="7" t="s">
        <v>37</v>
      </c>
      <c r="C3" s="7" t="s">
        <v>35</v>
      </c>
      <c r="D3" s="6">
        <v>199</v>
      </c>
      <c r="E3" s="6">
        <v>6</v>
      </c>
      <c r="F3" s="6">
        <v>500</v>
      </c>
      <c r="G3" s="7" t="s">
        <v>36</v>
      </c>
    </row>
    <row r="4" spans="1:7" x14ac:dyDescent="0.35">
      <c r="A4" s="6">
        <v>3</v>
      </c>
      <c r="B4" s="7" t="s">
        <v>38</v>
      </c>
      <c r="C4" s="7" t="s">
        <v>35</v>
      </c>
      <c r="D4" s="6">
        <v>349</v>
      </c>
      <c r="E4" s="6">
        <v>15</v>
      </c>
      <c r="F4" s="6">
        <v>1000</v>
      </c>
      <c r="G4" s="7" t="s">
        <v>39</v>
      </c>
    </row>
    <row r="5" spans="1:7" x14ac:dyDescent="0.35">
      <c r="A5" s="6">
        <v>4</v>
      </c>
      <c r="B5" s="7" t="s">
        <v>40</v>
      </c>
      <c r="C5" s="7" t="s">
        <v>35</v>
      </c>
      <c r="D5" s="6">
        <v>499</v>
      </c>
      <c r="E5" s="6">
        <v>25</v>
      </c>
      <c r="F5" s="6">
        <v>2000</v>
      </c>
      <c r="G5" s="7" t="s">
        <v>39</v>
      </c>
    </row>
    <row r="6" spans="1:7" x14ac:dyDescent="0.35">
      <c r="A6" s="6">
        <v>5</v>
      </c>
      <c r="B6" s="7" t="s">
        <v>41</v>
      </c>
      <c r="C6" s="7" t="s">
        <v>42</v>
      </c>
      <c r="D6" s="6">
        <v>599</v>
      </c>
      <c r="E6" s="6">
        <v>20</v>
      </c>
      <c r="F6" s="6">
        <v>1500</v>
      </c>
      <c r="G6" s="7" t="s">
        <v>43</v>
      </c>
    </row>
    <row r="7" spans="1:7" x14ac:dyDescent="0.35">
      <c r="A7" s="6">
        <v>6</v>
      </c>
      <c r="B7" s="7" t="s">
        <v>44</v>
      </c>
      <c r="C7" s="7" t="s">
        <v>42</v>
      </c>
      <c r="D7" s="6">
        <v>999</v>
      </c>
      <c r="E7" s="6">
        <v>40</v>
      </c>
      <c r="F7" s="6">
        <v>3000</v>
      </c>
      <c r="G7" s="7" t="s">
        <v>43</v>
      </c>
    </row>
    <row r="8" spans="1:7" x14ac:dyDescent="0.35">
      <c r="A8" s="6">
        <v>7</v>
      </c>
      <c r="B8" s="7" t="s">
        <v>45</v>
      </c>
      <c r="C8" s="7" t="s">
        <v>42</v>
      </c>
      <c r="D8" s="6">
        <v>1499</v>
      </c>
      <c r="E8" s="6">
        <v>60</v>
      </c>
      <c r="F8" s="6">
        <v>5000</v>
      </c>
      <c r="G8" s="7" t="s">
        <v>46</v>
      </c>
    </row>
    <row r="9" spans="1:7" x14ac:dyDescent="0.35">
      <c r="A9" s="6">
        <v>8</v>
      </c>
      <c r="B9" s="7" t="s">
        <v>47</v>
      </c>
      <c r="C9" s="7" t="s">
        <v>42</v>
      </c>
      <c r="D9" s="6">
        <v>1999</v>
      </c>
      <c r="E9" s="6">
        <v>80</v>
      </c>
      <c r="F9" s="6">
        <v>7000</v>
      </c>
      <c r="G9" s="7" t="s">
        <v>43</v>
      </c>
    </row>
    <row r="10" spans="1:7" x14ac:dyDescent="0.35">
      <c r="A10" s="6">
        <v>9</v>
      </c>
      <c r="B10" s="7" t="s">
        <v>48</v>
      </c>
      <c r="C10" s="7" t="s">
        <v>49</v>
      </c>
      <c r="D10" s="6">
        <v>799</v>
      </c>
      <c r="E10" s="6">
        <v>30</v>
      </c>
      <c r="F10" s="6">
        <v>3000</v>
      </c>
      <c r="G10" s="7" t="s">
        <v>50</v>
      </c>
    </row>
    <row r="11" spans="1:7" x14ac:dyDescent="0.35">
      <c r="A11" s="6">
        <v>10</v>
      </c>
      <c r="B11" s="7" t="s">
        <v>51</v>
      </c>
      <c r="C11" s="7" t="s">
        <v>49</v>
      </c>
      <c r="D11" s="6">
        <v>1499</v>
      </c>
      <c r="E11" s="6">
        <v>60</v>
      </c>
      <c r="F11" s="6">
        <v>6000</v>
      </c>
      <c r="G11" s="7" t="s">
        <v>50</v>
      </c>
    </row>
    <row r="12" spans="1:7" x14ac:dyDescent="0.35">
      <c r="A12" s="6">
        <v>11</v>
      </c>
      <c r="B12" s="7" t="s">
        <v>52</v>
      </c>
      <c r="C12" s="7" t="s">
        <v>49</v>
      </c>
      <c r="D12" s="6">
        <v>2999</v>
      </c>
      <c r="E12" s="6">
        <v>150</v>
      </c>
      <c r="F12" s="6">
        <v>15000</v>
      </c>
      <c r="G12" s="7" t="s">
        <v>53</v>
      </c>
    </row>
    <row r="13" spans="1:7" x14ac:dyDescent="0.35">
      <c r="A13" s="6">
        <v>12</v>
      </c>
      <c r="B13" s="7" t="s">
        <v>54</v>
      </c>
      <c r="C13" s="7" t="s">
        <v>35</v>
      </c>
      <c r="D13" s="6">
        <v>149</v>
      </c>
      <c r="E13" s="6">
        <v>8</v>
      </c>
      <c r="F13" s="6">
        <v>600</v>
      </c>
      <c r="G13" s="7" t="s">
        <v>55</v>
      </c>
    </row>
    <row r="14" spans="1:7" x14ac:dyDescent="0.35">
      <c r="A14" s="6">
        <v>13</v>
      </c>
      <c r="B14" s="7" t="s">
        <v>56</v>
      </c>
      <c r="C14" s="7" t="s">
        <v>42</v>
      </c>
      <c r="D14" s="6">
        <v>399</v>
      </c>
      <c r="E14" s="6">
        <v>10</v>
      </c>
      <c r="F14" s="6">
        <v>2000</v>
      </c>
      <c r="G14" s="7" t="s">
        <v>57</v>
      </c>
    </row>
    <row r="15" spans="1:7" x14ac:dyDescent="0.35">
      <c r="A15" s="6">
        <v>14</v>
      </c>
      <c r="B15" s="7" t="s">
        <v>58</v>
      </c>
      <c r="C15" s="7" t="s">
        <v>49</v>
      </c>
      <c r="D15" s="6">
        <v>199</v>
      </c>
      <c r="E15" s="6">
        <v>1</v>
      </c>
      <c r="F15" s="6">
        <v>0</v>
      </c>
      <c r="G15" s="7" t="s">
        <v>59</v>
      </c>
    </row>
    <row r="16" spans="1:7" x14ac:dyDescent="0.35">
      <c r="A16" s="6">
        <v>15</v>
      </c>
      <c r="B16" s="7" t="s">
        <v>60</v>
      </c>
      <c r="C16" s="7" t="s">
        <v>35</v>
      </c>
      <c r="D16" s="6">
        <v>1999</v>
      </c>
      <c r="E16" s="6">
        <v>5</v>
      </c>
      <c r="F16" s="6">
        <v>500</v>
      </c>
      <c r="G16" s="7" t="s">
        <v>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1" customWidth="1"/>
    <col min="2" max="2" width="19" customWidth="1"/>
    <col min="3" max="3" width="13" customWidth="1"/>
    <col min="4" max="4" width="11" customWidth="1"/>
    <col min="5" max="5" width="20" customWidth="1"/>
  </cols>
  <sheetData>
    <row r="1" spans="1:5" x14ac:dyDescent="0.35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</row>
    <row r="2" spans="1:5" x14ac:dyDescent="0.35">
      <c r="A2" s="6">
        <v>1</v>
      </c>
      <c r="B2" s="7" t="s">
        <v>67</v>
      </c>
      <c r="C2" s="7" t="s">
        <v>68</v>
      </c>
      <c r="D2" s="7" t="s">
        <v>69</v>
      </c>
      <c r="E2" s="7" t="s">
        <v>70</v>
      </c>
    </row>
    <row r="3" spans="1:5" x14ac:dyDescent="0.35">
      <c r="A3" s="6">
        <v>2</v>
      </c>
      <c r="B3" s="7" t="s">
        <v>71</v>
      </c>
      <c r="C3" s="7" t="s">
        <v>68</v>
      </c>
      <c r="D3" s="7" t="s">
        <v>69</v>
      </c>
      <c r="E3" s="7" t="s">
        <v>72</v>
      </c>
    </row>
    <row r="4" spans="1:5" x14ac:dyDescent="0.35">
      <c r="A4" s="6">
        <v>3</v>
      </c>
      <c r="B4" s="7" t="s">
        <v>73</v>
      </c>
      <c r="C4" s="7" t="s">
        <v>68</v>
      </c>
      <c r="D4" s="7" t="s">
        <v>69</v>
      </c>
      <c r="E4" s="7" t="s">
        <v>72</v>
      </c>
    </row>
    <row r="5" spans="1:5" x14ac:dyDescent="0.35">
      <c r="A5" s="6">
        <v>4</v>
      </c>
      <c r="B5" s="7" t="s">
        <v>74</v>
      </c>
      <c r="C5" s="7" t="s">
        <v>68</v>
      </c>
      <c r="D5" s="7" t="s">
        <v>69</v>
      </c>
      <c r="E5" s="7" t="s">
        <v>72</v>
      </c>
    </row>
    <row r="6" spans="1:5" x14ac:dyDescent="0.35">
      <c r="A6" s="6">
        <v>5</v>
      </c>
      <c r="B6" s="7" t="s">
        <v>75</v>
      </c>
      <c r="C6" s="7" t="s">
        <v>76</v>
      </c>
      <c r="D6" s="7" t="s">
        <v>69</v>
      </c>
      <c r="E6" s="7" t="s">
        <v>70</v>
      </c>
    </row>
    <row r="7" spans="1:5" x14ac:dyDescent="0.35">
      <c r="A7" s="6">
        <v>6</v>
      </c>
      <c r="B7" s="7" t="s">
        <v>77</v>
      </c>
      <c r="C7" s="7" t="s">
        <v>76</v>
      </c>
      <c r="D7" s="7" t="s">
        <v>78</v>
      </c>
      <c r="E7" s="7" t="s">
        <v>79</v>
      </c>
    </row>
    <row r="8" spans="1:5" x14ac:dyDescent="0.35">
      <c r="A8" s="6">
        <v>7</v>
      </c>
      <c r="B8" s="7" t="s">
        <v>80</v>
      </c>
      <c r="C8" s="7" t="s">
        <v>76</v>
      </c>
      <c r="D8" s="7" t="s">
        <v>69</v>
      </c>
      <c r="E8" s="7" t="s">
        <v>81</v>
      </c>
    </row>
    <row r="9" spans="1:5" x14ac:dyDescent="0.35">
      <c r="A9" s="6">
        <v>8</v>
      </c>
      <c r="B9" s="7" t="s">
        <v>82</v>
      </c>
      <c r="C9" s="7" t="s">
        <v>82</v>
      </c>
      <c r="D9" s="7" t="s">
        <v>69</v>
      </c>
      <c r="E9" s="7" t="s">
        <v>81</v>
      </c>
    </row>
    <row r="10" spans="1:5" x14ac:dyDescent="0.35">
      <c r="A10" s="6">
        <v>9</v>
      </c>
      <c r="B10" s="7" t="s">
        <v>83</v>
      </c>
      <c r="C10" s="7" t="s">
        <v>82</v>
      </c>
      <c r="D10" s="7" t="s">
        <v>78</v>
      </c>
      <c r="E10" s="7" t="s">
        <v>79</v>
      </c>
    </row>
    <row r="11" spans="1:5" x14ac:dyDescent="0.35">
      <c r="A11" s="6">
        <v>10</v>
      </c>
      <c r="B11" s="7" t="s">
        <v>84</v>
      </c>
      <c r="C11" s="7" t="s">
        <v>84</v>
      </c>
      <c r="D11" s="7" t="s">
        <v>69</v>
      </c>
      <c r="E11" s="7" t="s">
        <v>81</v>
      </c>
    </row>
    <row r="12" spans="1:5" x14ac:dyDescent="0.35">
      <c r="A12" s="6">
        <v>11</v>
      </c>
      <c r="B12" s="7" t="s">
        <v>85</v>
      </c>
      <c r="C12" s="7" t="s">
        <v>84</v>
      </c>
      <c r="D12" s="7" t="s">
        <v>78</v>
      </c>
      <c r="E12" s="7" t="s">
        <v>79</v>
      </c>
    </row>
    <row r="13" spans="1:5" x14ac:dyDescent="0.35">
      <c r="A13" s="6">
        <v>12</v>
      </c>
      <c r="B13" s="7" t="s">
        <v>86</v>
      </c>
      <c r="C13" s="7" t="s">
        <v>86</v>
      </c>
      <c r="D13" s="7" t="s">
        <v>69</v>
      </c>
      <c r="E13" s="7" t="s">
        <v>81</v>
      </c>
    </row>
    <row r="14" spans="1:5" x14ac:dyDescent="0.35">
      <c r="A14" s="6">
        <v>13</v>
      </c>
      <c r="B14" s="7" t="s">
        <v>87</v>
      </c>
      <c r="C14" s="7" t="s">
        <v>87</v>
      </c>
      <c r="D14" s="7" t="s">
        <v>78</v>
      </c>
      <c r="E14" s="7" t="s">
        <v>79</v>
      </c>
    </row>
    <row r="15" spans="1:5" x14ac:dyDescent="0.35">
      <c r="A15" s="6">
        <v>14</v>
      </c>
      <c r="B15" s="7" t="s">
        <v>88</v>
      </c>
      <c r="C15" s="7" t="s">
        <v>88</v>
      </c>
      <c r="D15" s="7" t="s">
        <v>78</v>
      </c>
      <c r="E15" s="7" t="s">
        <v>79</v>
      </c>
    </row>
    <row r="16" spans="1:5" x14ac:dyDescent="0.35">
      <c r="A16" s="6">
        <v>15</v>
      </c>
      <c r="B16" s="7" t="s">
        <v>89</v>
      </c>
      <c r="C16" s="7" t="s">
        <v>89</v>
      </c>
      <c r="D16" s="7" t="s">
        <v>69</v>
      </c>
      <c r="E16" s="7" t="s">
        <v>81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6" customWidth="1"/>
    <col min="2" max="2" width="22" customWidth="1"/>
    <col min="3" max="3" width="28" customWidth="1"/>
    <col min="4" max="4" width="11" customWidth="1"/>
    <col min="5" max="5" width="12" customWidth="1"/>
  </cols>
  <sheetData>
    <row r="1" spans="1:5" x14ac:dyDescent="0.35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</row>
    <row r="2" spans="1:5" x14ac:dyDescent="0.35">
      <c r="A2" s="6">
        <v>1</v>
      </c>
      <c r="B2" s="7" t="s">
        <v>95</v>
      </c>
      <c r="C2" s="7" t="s">
        <v>96</v>
      </c>
      <c r="D2" s="7" t="s">
        <v>72</v>
      </c>
      <c r="E2" s="6">
        <v>4</v>
      </c>
    </row>
    <row r="3" spans="1:5" x14ac:dyDescent="0.35">
      <c r="A3" s="6">
        <v>2</v>
      </c>
      <c r="B3" s="7" t="s">
        <v>95</v>
      </c>
      <c r="C3" s="7" t="s">
        <v>97</v>
      </c>
      <c r="D3" s="7" t="s">
        <v>72</v>
      </c>
      <c r="E3" s="6">
        <v>6</v>
      </c>
    </row>
    <row r="4" spans="1:5" x14ac:dyDescent="0.35">
      <c r="A4" s="6">
        <v>3</v>
      </c>
      <c r="B4" s="7" t="s">
        <v>95</v>
      </c>
      <c r="C4" s="7" t="s">
        <v>98</v>
      </c>
      <c r="D4" s="7" t="s">
        <v>81</v>
      </c>
      <c r="E4" s="6">
        <v>8</v>
      </c>
    </row>
    <row r="5" spans="1:5" x14ac:dyDescent="0.35">
      <c r="A5" s="6">
        <v>4</v>
      </c>
      <c r="B5" s="7" t="s">
        <v>99</v>
      </c>
      <c r="C5" s="7" t="s">
        <v>100</v>
      </c>
      <c r="D5" s="7" t="s">
        <v>81</v>
      </c>
      <c r="E5" s="6">
        <v>24</v>
      </c>
    </row>
    <row r="6" spans="1:5" x14ac:dyDescent="0.35">
      <c r="A6" s="6">
        <v>5</v>
      </c>
      <c r="B6" s="7" t="s">
        <v>99</v>
      </c>
      <c r="C6" s="7" t="s">
        <v>101</v>
      </c>
      <c r="D6" s="7" t="s">
        <v>72</v>
      </c>
      <c r="E6" s="6">
        <v>12</v>
      </c>
    </row>
    <row r="7" spans="1:5" x14ac:dyDescent="0.35">
      <c r="A7" s="6">
        <v>6</v>
      </c>
      <c r="B7" s="7" t="s">
        <v>99</v>
      </c>
      <c r="C7" s="7" t="s">
        <v>102</v>
      </c>
      <c r="D7" s="7" t="s">
        <v>81</v>
      </c>
      <c r="E7" s="6">
        <v>48</v>
      </c>
    </row>
    <row r="8" spans="1:5" x14ac:dyDescent="0.35">
      <c r="A8" s="6">
        <v>7</v>
      </c>
      <c r="B8" s="7" t="s">
        <v>103</v>
      </c>
      <c r="C8" s="7" t="s">
        <v>104</v>
      </c>
      <c r="D8" s="7" t="s">
        <v>81</v>
      </c>
      <c r="E8" s="6">
        <v>24</v>
      </c>
    </row>
    <row r="9" spans="1:5" x14ac:dyDescent="0.35">
      <c r="A9" s="6">
        <v>8</v>
      </c>
      <c r="B9" s="7" t="s">
        <v>103</v>
      </c>
      <c r="C9" s="7" t="s">
        <v>105</v>
      </c>
      <c r="D9" s="7" t="s">
        <v>72</v>
      </c>
      <c r="E9" s="6">
        <v>6</v>
      </c>
    </row>
    <row r="10" spans="1:5" x14ac:dyDescent="0.35">
      <c r="A10" s="6">
        <v>9</v>
      </c>
      <c r="B10" s="7" t="s">
        <v>103</v>
      </c>
      <c r="C10" s="7" t="s">
        <v>106</v>
      </c>
      <c r="D10" s="7" t="s">
        <v>81</v>
      </c>
      <c r="E10" s="6">
        <v>72</v>
      </c>
    </row>
    <row r="11" spans="1:5" x14ac:dyDescent="0.35">
      <c r="A11" s="6">
        <v>10</v>
      </c>
      <c r="B11" s="7" t="s">
        <v>107</v>
      </c>
      <c r="C11" s="7" t="s">
        <v>108</v>
      </c>
      <c r="D11" s="7" t="s">
        <v>72</v>
      </c>
      <c r="E11" s="6">
        <v>6</v>
      </c>
    </row>
    <row r="12" spans="1:5" x14ac:dyDescent="0.35">
      <c r="A12" s="6">
        <v>11</v>
      </c>
      <c r="B12" s="7" t="s">
        <v>107</v>
      </c>
      <c r="C12" s="7" t="s">
        <v>109</v>
      </c>
      <c r="D12" s="7" t="s">
        <v>79</v>
      </c>
      <c r="E12" s="6">
        <v>12</v>
      </c>
    </row>
    <row r="13" spans="1:5" x14ac:dyDescent="0.35">
      <c r="A13" s="6">
        <v>12</v>
      </c>
      <c r="B13" s="7" t="s">
        <v>110</v>
      </c>
      <c r="C13" s="7" t="s">
        <v>111</v>
      </c>
      <c r="D13" s="7" t="s">
        <v>79</v>
      </c>
      <c r="E13" s="6">
        <v>24</v>
      </c>
    </row>
    <row r="14" spans="1:5" x14ac:dyDescent="0.35">
      <c r="A14" s="6">
        <v>13</v>
      </c>
      <c r="B14" s="7" t="s">
        <v>110</v>
      </c>
      <c r="C14" s="7" t="s">
        <v>112</v>
      </c>
      <c r="D14" s="7" t="s">
        <v>79</v>
      </c>
      <c r="E14" s="6">
        <v>24</v>
      </c>
    </row>
    <row r="15" spans="1:5" x14ac:dyDescent="0.35">
      <c r="A15" s="6">
        <v>14</v>
      </c>
      <c r="B15" s="7" t="s">
        <v>113</v>
      </c>
      <c r="C15" s="7" t="s">
        <v>114</v>
      </c>
      <c r="D15" s="7" t="s">
        <v>72</v>
      </c>
      <c r="E15" s="6">
        <v>8</v>
      </c>
    </row>
    <row r="16" spans="1:5" x14ac:dyDescent="0.35">
      <c r="A16" s="6">
        <v>15</v>
      </c>
      <c r="B16" s="7" t="s">
        <v>115</v>
      </c>
      <c r="C16" s="7" t="s">
        <v>116</v>
      </c>
      <c r="D16" s="7" t="s">
        <v>79</v>
      </c>
      <c r="E16" s="6">
        <v>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0" customWidth="1"/>
    <col min="2" max="2" width="17" customWidth="1"/>
    <col min="3" max="3" width="20" customWidth="1"/>
    <col min="4" max="4" width="10" customWidth="1"/>
    <col min="5" max="5" width="18" customWidth="1"/>
    <col min="6" max="6" width="14" customWidth="1"/>
  </cols>
  <sheetData>
    <row r="1" spans="1:6" x14ac:dyDescent="0.35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</row>
    <row r="2" spans="1:6" x14ac:dyDescent="0.35">
      <c r="A2" s="6">
        <v>1</v>
      </c>
      <c r="B2" s="7" t="s">
        <v>123</v>
      </c>
      <c r="C2" s="7" t="s">
        <v>124</v>
      </c>
      <c r="D2" s="7" t="s">
        <v>125</v>
      </c>
      <c r="E2" s="6">
        <v>5</v>
      </c>
      <c r="F2" s="7">
        <v>4.5999999999999996</v>
      </c>
    </row>
    <row r="3" spans="1:6" x14ac:dyDescent="0.35">
      <c r="A3" s="6">
        <v>2</v>
      </c>
      <c r="B3" s="7" t="s">
        <v>126</v>
      </c>
      <c r="C3" s="7" t="s">
        <v>127</v>
      </c>
      <c r="D3" s="7" t="s">
        <v>125</v>
      </c>
      <c r="E3" s="6">
        <v>3</v>
      </c>
      <c r="F3" s="7">
        <v>4.4000000000000004</v>
      </c>
    </row>
    <row r="4" spans="1:6" x14ac:dyDescent="0.35">
      <c r="A4" s="6">
        <v>3</v>
      </c>
      <c r="B4" s="7" t="s">
        <v>128</v>
      </c>
      <c r="C4" s="7" t="s">
        <v>129</v>
      </c>
      <c r="D4" s="7" t="s">
        <v>125</v>
      </c>
      <c r="E4" s="6">
        <v>6</v>
      </c>
      <c r="F4" s="7">
        <v>4.7</v>
      </c>
    </row>
    <row r="5" spans="1:6" x14ac:dyDescent="0.35">
      <c r="A5" s="6">
        <v>4</v>
      </c>
      <c r="B5" s="7" t="s">
        <v>130</v>
      </c>
      <c r="C5" s="7" t="s">
        <v>131</v>
      </c>
      <c r="D5" s="7" t="s">
        <v>132</v>
      </c>
      <c r="E5" s="6">
        <v>4</v>
      </c>
      <c r="F5" s="7">
        <v>4.3</v>
      </c>
    </row>
    <row r="6" spans="1:6" x14ac:dyDescent="0.35">
      <c r="A6" s="6">
        <v>5</v>
      </c>
      <c r="B6" s="7" t="s">
        <v>133</v>
      </c>
      <c r="C6" s="7" t="s">
        <v>124</v>
      </c>
      <c r="D6" s="7" t="s">
        <v>132</v>
      </c>
      <c r="E6" s="6">
        <v>7</v>
      </c>
      <c r="F6" s="7">
        <v>4.5</v>
      </c>
    </row>
    <row r="7" spans="1:6" x14ac:dyDescent="0.35">
      <c r="A7" s="6">
        <v>6</v>
      </c>
      <c r="B7" s="7" t="s">
        <v>134</v>
      </c>
      <c r="C7" s="7" t="s">
        <v>127</v>
      </c>
      <c r="D7" s="7" t="s">
        <v>125</v>
      </c>
      <c r="E7" s="6">
        <v>2</v>
      </c>
      <c r="F7" s="7">
        <v>4.0999999999999996</v>
      </c>
    </row>
    <row r="8" spans="1:6" x14ac:dyDescent="0.35">
      <c r="A8" s="6">
        <v>7</v>
      </c>
      <c r="B8" s="7" t="s">
        <v>135</v>
      </c>
      <c r="C8" s="7" t="s">
        <v>136</v>
      </c>
      <c r="D8" s="7" t="s">
        <v>125</v>
      </c>
      <c r="E8" s="6">
        <v>5</v>
      </c>
      <c r="F8" s="7">
        <v>4.4000000000000004</v>
      </c>
    </row>
    <row r="9" spans="1:6" x14ac:dyDescent="0.35">
      <c r="A9" s="6">
        <v>8</v>
      </c>
      <c r="B9" s="7" t="s">
        <v>137</v>
      </c>
      <c r="C9" s="7" t="s">
        <v>131</v>
      </c>
      <c r="D9" s="7" t="s">
        <v>125</v>
      </c>
      <c r="E9" s="6">
        <v>3</v>
      </c>
      <c r="F9" s="7">
        <v>4.2</v>
      </c>
    </row>
    <row r="10" spans="1:6" x14ac:dyDescent="0.35">
      <c r="A10" s="6">
        <v>9</v>
      </c>
      <c r="B10" s="7" t="s">
        <v>138</v>
      </c>
      <c r="C10" s="7" t="s">
        <v>129</v>
      </c>
      <c r="D10" s="7" t="s">
        <v>132</v>
      </c>
      <c r="E10" s="6">
        <v>4</v>
      </c>
      <c r="F10" s="7">
        <v>4.5999999999999996</v>
      </c>
    </row>
    <row r="11" spans="1:6" x14ac:dyDescent="0.35">
      <c r="A11" s="6">
        <v>10</v>
      </c>
      <c r="B11" s="7" t="s">
        <v>139</v>
      </c>
      <c r="C11" s="7" t="s">
        <v>124</v>
      </c>
      <c r="D11" s="7" t="s">
        <v>125</v>
      </c>
      <c r="E11" s="6">
        <v>8</v>
      </c>
      <c r="F11" s="7">
        <v>4.8</v>
      </c>
    </row>
    <row r="12" spans="1:6" x14ac:dyDescent="0.35">
      <c r="A12" s="6">
        <v>11</v>
      </c>
      <c r="B12" s="7" t="s">
        <v>140</v>
      </c>
      <c r="C12" s="7" t="s">
        <v>127</v>
      </c>
      <c r="D12" s="7" t="s">
        <v>132</v>
      </c>
      <c r="E12" s="6">
        <v>3</v>
      </c>
      <c r="F12" s="7">
        <v>4</v>
      </c>
    </row>
    <row r="13" spans="1:6" x14ac:dyDescent="0.35">
      <c r="A13" s="6">
        <v>12</v>
      </c>
      <c r="B13" s="7" t="s">
        <v>141</v>
      </c>
      <c r="C13" s="7" t="s">
        <v>136</v>
      </c>
      <c r="D13" s="7" t="s">
        <v>132</v>
      </c>
      <c r="E13" s="6">
        <v>5</v>
      </c>
      <c r="F13" s="7">
        <v>4.3</v>
      </c>
    </row>
    <row r="14" spans="1:6" x14ac:dyDescent="0.35">
      <c r="A14" s="6">
        <v>13</v>
      </c>
      <c r="B14" s="7" t="s">
        <v>142</v>
      </c>
      <c r="C14" s="7" t="s">
        <v>129</v>
      </c>
      <c r="D14" s="7" t="s">
        <v>125</v>
      </c>
      <c r="E14" s="6">
        <v>2</v>
      </c>
      <c r="F14" s="7">
        <v>4.2</v>
      </c>
    </row>
    <row r="15" spans="1:6" x14ac:dyDescent="0.35">
      <c r="A15" s="6">
        <v>14</v>
      </c>
      <c r="B15" s="7" t="s">
        <v>143</v>
      </c>
      <c r="C15" s="7" t="s">
        <v>131</v>
      </c>
      <c r="D15" s="7" t="s">
        <v>125</v>
      </c>
      <c r="E15" s="6">
        <v>6</v>
      </c>
      <c r="F15" s="7">
        <v>4.5</v>
      </c>
    </row>
    <row r="16" spans="1:6" x14ac:dyDescent="0.35">
      <c r="A16" s="6">
        <v>15</v>
      </c>
      <c r="B16" s="7" t="s">
        <v>144</v>
      </c>
      <c r="C16" s="7" t="s">
        <v>124</v>
      </c>
      <c r="D16" s="7" t="s">
        <v>132</v>
      </c>
      <c r="E16" s="6">
        <v>4</v>
      </c>
      <c r="F16" s="7">
        <v>4.4000000000000004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6"/>
  <sheetViews>
    <sheetView zoomScaleNormal="100" workbookViewId="0">
      <pane ySplit="1" topLeftCell="A294" activePane="bottomLeft" state="frozen"/>
      <selection pane="bottomLeft" activeCell="G302" sqref="G302"/>
    </sheetView>
  </sheetViews>
  <sheetFormatPr defaultColWidth="8.7265625" defaultRowHeight="14.5" x14ac:dyDescent="0.35"/>
  <cols>
    <col min="1" max="1" width="10" customWidth="1"/>
    <col min="2" max="2" width="13" customWidth="1"/>
    <col min="3" max="5" width="10" customWidth="1"/>
    <col min="6" max="6" width="12" customWidth="1"/>
    <col min="7" max="7" width="13" customWidth="1"/>
    <col min="8" max="9" width="12" customWidth="1"/>
  </cols>
  <sheetData>
    <row r="1" spans="1:9" x14ac:dyDescent="0.35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153</v>
      </c>
    </row>
    <row r="2" spans="1:9" x14ac:dyDescent="0.35">
      <c r="A2" s="6">
        <v>1</v>
      </c>
      <c r="B2" s="8">
        <v>45658</v>
      </c>
      <c r="C2" s="6">
        <v>2025</v>
      </c>
      <c r="D2" s="7" t="s">
        <v>154</v>
      </c>
      <c r="E2" s="6">
        <v>1</v>
      </c>
      <c r="F2" s="7" t="s">
        <v>155</v>
      </c>
      <c r="G2" s="6">
        <v>1</v>
      </c>
      <c r="H2" s="7" t="s">
        <v>156</v>
      </c>
      <c r="I2" s="6">
        <v>0</v>
      </c>
    </row>
    <row r="3" spans="1:9" x14ac:dyDescent="0.35">
      <c r="A3" s="6">
        <v>2</v>
      </c>
      <c r="B3" s="8">
        <v>45659</v>
      </c>
      <c r="C3" s="6">
        <v>2025</v>
      </c>
      <c r="D3" s="7" t="s">
        <v>154</v>
      </c>
      <c r="E3" s="6">
        <v>1</v>
      </c>
      <c r="F3" s="7" t="s">
        <v>155</v>
      </c>
      <c r="G3" s="6">
        <v>1</v>
      </c>
      <c r="H3" s="7" t="s">
        <v>157</v>
      </c>
      <c r="I3" s="6">
        <v>0</v>
      </c>
    </row>
    <row r="4" spans="1:9" x14ac:dyDescent="0.35">
      <c r="A4" s="6">
        <v>3</v>
      </c>
      <c r="B4" s="8">
        <v>45660</v>
      </c>
      <c r="C4" s="6">
        <v>2025</v>
      </c>
      <c r="D4" s="7" t="s">
        <v>154</v>
      </c>
      <c r="E4" s="6">
        <v>1</v>
      </c>
      <c r="F4" s="7" t="s">
        <v>155</v>
      </c>
      <c r="G4" s="6">
        <v>1</v>
      </c>
      <c r="H4" s="7" t="s">
        <v>158</v>
      </c>
      <c r="I4" s="6">
        <v>0</v>
      </c>
    </row>
    <row r="5" spans="1:9" x14ac:dyDescent="0.35">
      <c r="A5" s="6">
        <v>4</v>
      </c>
      <c r="B5" s="8">
        <v>45661</v>
      </c>
      <c r="C5" s="6">
        <v>2025</v>
      </c>
      <c r="D5" s="7" t="s">
        <v>154</v>
      </c>
      <c r="E5" s="6">
        <v>1</v>
      </c>
      <c r="F5" s="7" t="s">
        <v>155</v>
      </c>
      <c r="G5" s="6">
        <v>1</v>
      </c>
      <c r="H5" s="7" t="s">
        <v>159</v>
      </c>
      <c r="I5" s="6">
        <v>1</v>
      </c>
    </row>
    <row r="6" spans="1:9" x14ac:dyDescent="0.35">
      <c r="A6" s="6">
        <v>5</v>
      </c>
      <c r="B6" s="8">
        <v>45662</v>
      </c>
      <c r="C6" s="6">
        <v>2025</v>
      </c>
      <c r="D6" s="7" t="s">
        <v>154</v>
      </c>
      <c r="E6" s="6">
        <v>1</v>
      </c>
      <c r="F6" s="7" t="s">
        <v>155</v>
      </c>
      <c r="G6" s="6">
        <v>1</v>
      </c>
      <c r="H6" s="7" t="s">
        <v>160</v>
      </c>
      <c r="I6" s="6">
        <v>1</v>
      </c>
    </row>
    <row r="7" spans="1:9" x14ac:dyDescent="0.35">
      <c r="A7" s="6">
        <v>6</v>
      </c>
      <c r="B7" s="8">
        <v>45663</v>
      </c>
      <c r="C7" s="6">
        <v>2025</v>
      </c>
      <c r="D7" s="7" t="s">
        <v>154</v>
      </c>
      <c r="E7" s="6">
        <v>1</v>
      </c>
      <c r="F7" s="7" t="s">
        <v>155</v>
      </c>
      <c r="G7" s="6">
        <v>2</v>
      </c>
      <c r="H7" s="7" t="s">
        <v>161</v>
      </c>
      <c r="I7" s="6">
        <v>0</v>
      </c>
    </row>
    <row r="8" spans="1:9" x14ac:dyDescent="0.35">
      <c r="A8" s="6">
        <v>7</v>
      </c>
      <c r="B8" s="8">
        <v>45664</v>
      </c>
      <c r="C8" s="6">
        <v>2025</v>
      </c>
      <c r="D8" s="7" t="s">
        <v>154</v>
      </c>
      <c r="E8" s="6">
        <v>1</v>
      </c>
      <c r="F8" s="7" t="s">
        <v>155</v>
      </c>
      <c r="G8" s="6">
        <v>2</v>
      </c>
      <c r="H8" s="7" t="s">
        <v>162</v>
      </c>
      <c r="I8" s="6">
        <v>0</v>
      </c>
    </row>
    <row r="9" spans="1:9" x14ac:dyDescent="0.35">
      <c r="A9" s="6">
        <v>8</v>
      </c>
      <c r="B9" s="8">
        <v>45665</v>
      </c>
      <c r="C9" s="6">
        <v>2025</v>
      </c>
      <c r="D9" s="7" t="s">
        <v>154</v>
      </c>
      <c r="E9" s="6">
        <v>1</v>
      </c>
      <c r="F9" s="7" t="s">
        <v>155</v>
      </c>
      <c r="G9" s="6">
        <v>2</v>
      </c>
      <c r="H9" s="7" t="s">
        <v>156</v>
      </c>
      <c r="I9" s="6">
        <v>0</v>
      </c>
    </row>
    <row r="10" spans="1:9" x14ac:dyDescent="0.35">
      <c r="A10" s="6">
        <v>9</v>
      </c>
      <c r="B10" s="8">
        <v>45666</v>
      </c>
      <c r="C10" s="6">
        <v>2025</v>
      </c>
      <c r="D10" s="7" t="s">
        <v>154</v>
      </c>
      <c r="E10" s="6">
        <v>1</v>
      </c>
      <c r="F10" s="7" t="s">
        <v>155</v>
      </c>
      <c r="G10" s="6">
        <v>2</v>
      </c>
      <c r="H10" s="7" t="s">
        <v>157</v>
      </c>
      <c r="I10" s="6">
        <v>0</v>
      </c>
    </row>
    <row r="11" spans="1:9" x14ac:dyDescent="0.35">
      <c r="A11" s="6">
        <v>10</v>
      </c>
      <c r="B11" s="8">
        <v>45667</v>
      </c>
      <c r="C11" s="6">
        <v>2025</v>
      </c>
      <c r="D11" s="7" t="s">
        <v>154</v>
      </c>
      <c r="E11" s="6">
        <v>1</v>
      </c>
      <c r="F11" s="7" t="s">
        <v>155</v>
      </c>
      <c r="G11" s="6">
        <v>2</v>
      </c>
      <c r="H11" s="7" t="s">
        <v>158</v>
      </c>
      <c r="I11" s="6">
        <v>0</v>
      </c>
    </row>
    <row r="12" spans="1:9" x14ac:dyDescent="0.35">
      <c r="A12" s="6">
        <v>11</v>
      </c>
      <c r="B12" s="8">
        <v>45668</v>
      </c>
      <c r="C12" s="6">
        <v>2025</v>
      </c>
      <c r="D12" s="7" t="s">
        <v>154</v>
      </c>
      <c r="E12" s="6">
        <v>1</v>
      </c>
      <c r="F12" s="7" t="s">
        <v>155</v>
      </c>
      <c r="G12" s="6">
        <v>2</v>
      </c>
      <c r="H12" s="7" t="s">
        <v>159</v>
      </c>
      <c r="I12" s="6">
        <v>1</v>
      </c>
    </row>
    <row r="13" spans="1:9" x14ac:dyDescent="0.35">
      <c r="A13" s="6">
        <v>12</v>
      </c>
      <c r="B13" s="8">
        <v>45669</v>
      </c>
      <c r="C13" s="6">
        <v>2025</v>
      </c>
      <c r="D13" s="7" t="s">
        <v>154</v>
      </c>
      <c r="E13" s="6">
        <v>1</v>
      </c>
      <c r="F13" s="7" t="s">
        <v>155</v>
      </c>
      <c r="G13" s="6">
        <v>2</v>
      </c>
      <c r="H13" s="7" t="s">
        <v>160</v>
      </c>
      <c r="I13" s="6">
        <v>1</v>
      </c>
    </row>
    <row r="14" spans="1:9" x14ac:dyDescent="0.35">
      <c r="A14" s="6">
        <v>13</v>
      </c>
      <c r="B14" s="8">
        <v>45670</v>
      </c>
      <c r="C14" s="6">
        <v>2025</v>
      </c>
      <c r="D14" s="7" t="s">
        <v>154</v>
      </c>
      <c r="E14" s="6">
        <v>1</v>
      </c>
      <c r="F14" s="7" t="s">
        <v>155</v>
      </c>
      <c r="G14" s="6">
        <v>3</v>
      </c>
      <c r="H14" s="7" t="s">
        <v>161</v>
      </c>
      <c r="I14" s="6">
        <v>0</v>
      </c>
    </row>
    <row r="15" spans="1:9" x14ac:dyDescent="0.35">
      <c r="A15" s="6">
        <v>14</v>
      </c>
      <c r="B15" s="8">
        <v>45671</v>
      </c>
      <c r="C15" s="6">
        <v>2025</v>
      </c>
      <c r="D15" s="7" t="s">
        <v>154</v>
      </c>
      <c r="E15" s="6">
        <v>1</v>
      </c>
      <c r="F15" s="7" t="s">
        <v>155</v>
      </c>
      <c r="G15" s="6">
        <v>3</v>
      </c>
      <c r="H15" s="7" t="s">
        <v>162</v>
      </c>
      <c r="I15" s="6">
        <v>0</v>
      </c>
    </row>
    <row r="16" spans="1:9" x14ac:dyDescent="0.35">
      <c r="A16" s="6">
        <v>15</v>
      </c>
      <c r="B16" s="8">
        <v>45672</v>
      </c>
      <c r="C16" s="6">
        <v>2025</v>
      </c>
      <c r="D16" s="7" t="s">
        <v>154</v>
      </c>
      <c r="E16" s="6">
        <v>1</v>
      </c>
      <c r="F16" s="7" t="s">
        <v>155</v>
      </c>
      <c r="G16" s="6">
        <v>3</v>
      </c>
      <c r="H16" s="7" t="s">
        <v>156</v>
      </c>
      <c r="I16" s="6">
        <v>0</v>
      </c>
    </row>
    <row r="17" spans="1:9" x14ac:dyDescent="0.35">
      <c r="A17" s="6">
        <v>16</v>
      </c>
      <c r="B17" s="8">
        <v>45673</v>
      </c>
      <c r="C17" s="6">
        <v>2025</v>
      </c>
      <c r="D17" s="7" t="s">
        <v>154</v>
      </c>
      <c r="E17" s="6">
        <v>1</v>
      </c>
      <c r="F17" s="7" t="s">
        <v>155</v>
      </c>
      <c r="G17" s="6">
        <v>3</v>
      </c>
      <c r="H17" s="7" t="s">
        <v>157</v>
      </c>
      <c r="I17" s="6">
        <v>0</v>
      </c>
    </row>
    <row r="18" spans="1:9" x14ac:dyDescent="0.35">
      <c r="A18" s="6">
        <v>17</v>
      </c>
      <c r="B18" s="8">
        <v>45674</v>
      </c>
      <c r="C18" s="6">
        <v>2025</v>
      </c>
      <c r="D18" s="7" t="s">
        <v>154</v>
      </c>
      <c r="E18" s="6">
        <v>1</v>
      </c>
      <c r="F18" s="7" t="s">
        <v>155</v>
      </c>
      <c r="G18" s="6">
        <v>3</v>
      </c>
      <c r="H18" s="7" t="s">
        <v>158</v>
      </c>
      <c r="I18" s="6">
        <v>0</v>
      </c>
    </row>
    <row r="19" spans="1:9" x14ac:dyDescent="0.35">
      <c r="A19" s="6">
        <v>18</v>
      </c>
      <c r="B19" s="8">
        <v>45675</v>
      </c>
      <c r="C19" s="6">
        <v>2025</v>
      </c>
      <c r="D19" s="7" t="s">
        <v>154</v>
      </c>
      <c r="E19" s="6">
        <v>1</v>
      </c>
      <c r="F19" s="7" t="s">
        <v>155</v>
      </c>
      <c r="G19" s="6">
        <v>3</v>
      </c>
      <c r="H19" s="7" t="s">
        <v>159</v>
      </c>
      <c r="I19" s="6">
        <v>1</v>
      </c>
    </row>
    <row r="20" spans="1:9" x14ac:dyDescent="0.35">
      <c r="A20" s="6">
        <v>19</v>
      </c>
      <c r="B20" s="8">
        <v>45676</v>
      </c>
      <c r="C20" s="6">
        <v>2025</v>
      </c>
      <c r="D20" s="7" t="s">
        <v>154</v>
      </c>
      <c r="E20" s="6">
        <v>1</v>
      </c>
      <c r="F20" s="7" t="s">
        <v>155</v>
      </c>
      <c r="G20" s="6">
        <v>3</v>
      </c>
      <c r="H20" s="7" t="s">
        <v>160</v>
      </c>
      <c r="I20" s="6">
        <v>1</v>
      </c>
    </row>
    <row r="21" spans="1:9" x14ac:dyDescent="0.35">
      <c r="A21" s="6">
        <v>20</v>
      </c>
      <c r="B21" s="8">
        <v>45677</v>
      </c>
      <c r="C21" s="6">
        <v>2025</v>
      </c>
      <c r="D21" s="7" t="s">
        <v>154</v>
      </c>
      <c r="E21" s="6">
        <v>1</v>
      </c>
      <c r="F21" s="7" t="s">
        <v>155</v>
      </c>
      <c r="G21" s="6">
        <v>4</v>
      </c>
      <c r="H21" s="7" t="s">
        <v>161</v>
      </c>
      <c r="I21" s="6">
        <v>0</v>
      </c>
    </row>
    <row r="22" spans="1:9" x14ac:dyDescent="0.35">
      <c r="A22" s="6">
        <v>21</v>
      </c>
      <c r="B22" s="8">
        <v>45678</v>
      </c>
      <c r="C22" s="6">
        <v>2025</v>
      </c>
      <c r="D22" s="7" t="s">
        <v>154</v>
      </c>
      <c r="E22" s="6">
        <v>1</v>
      </c>
      <c r="F22" s="7" t="s">
        <v>155</v>
      </c>
      <c r="G22" s="6">
        <v>4</v>
      </c>
      <c r="H22" s="7" t="s">
        <v>162</v>
      </c>
      <c r="I22" s="6">
        <v>0</v>
      </c>
    </row>
    <row r="23" spans="1:9" x14ac:dyDescent="0.35">
      <c r="A23" s="6">
        <v>22</v>
      </c>
      <c r="B23" s="8">
        <v>45679</v>
      </c>
      <c r="C23" s="6">
        <v>2025</v>
      </c>
      <c r="D23" s="7" t="s">
        <v>154</v>
      </c>
      <c r="E23" s="6">
        <v>1</v>
      </c>
      <c r="F23" s="7" t="s">
        <v>155</v>
      </c>
      <c r="G23" s="6">
        <v>4</v>
      </c>
      <c r="H23" s="7" t="s">
        <v>156</v>
      </c>
      <c r="I23" s="6">
        <v>0</v>
      </c>
    </row>
    <row r="24" spans="1:9" x14ac:dyDescent="0.35">
      <c r="A24" s="6">
        <v>23</v>
      </c>
      <c r="B24" s="8">
        <v>45680</v>
      </c>
      <c r="C24" s="6">
        <v>2025</v>
      </c>
      <c r="D24" s="7" t="s">
        <v>154</v>
      </c>
      <c r="E24" s="6">
        <v>1</v>
      </c>
      <c r="F24" s="7" t="s">
        <v>155</v>
      </c>
      <c r="G24" s="6">
        <v>4</v>
      </c>
      <c r="H24" s="7" t="s">
        <v>157</v>
      </c>
      <c r="I24" s="6">
        <v>0</v>
      </c>
    </row>
    <row r="25" spans="1:9" x14ac:dyDescent="0.35">
      <c r="A25" s="6">
        <v>24</v>
      </c>
      <c r="B25" s="8">
        <v>45681</v>
      </c>
      <c r="C25" s="6">
        <v>2025</v>
      </c>
      <c r="D25" s="7" t="s">
        <v>154</v>
      </c>
      <c r="E25" s="6">
        <v>1</v>
      </c>
      <c r="F25" s="7" t="s">
        <v>155</v>
      </c>
      <c r="G25" s="6">
        <v>4</v>
      </c>
      <c r="H25" s="7" t="s">
        <v>158</v>
      </c>
      <c r="I25" s="6">
        <v>0</v>
      </c>
    </row>
    <row r="26" spans="1:9" x14ac:dyDescent="0.35">
      <c r="A26" s="6">
        <v>25</v>
      </c>
      <c r="B26" s="8">
        <v>45682</v>
      </c>
      <c r="C26" s="6">
        <v>2025</v>
      </c>
      <c r="D26" s="7" t="s">
        <v>154</v>
      </c>
      <c r="E26" s="6">
        <v>1</v>
      </c>
      <c r="F26" s="7" t="s">
        <v>155</v>
      </c>
      <c r="G26" s="6">
        <v>4</v>
      </c>
      <c r="H26" s="7" t="s">
        <v>159</v>
      </c>
      <c r="I26" s="6">
        <v>1</v>
      </c>
    </row>
    <row r="27" spans="1:9" x14ac:dyDescent="0.35">
      <c r="A27" s="6">
        <v>26</v>
      </c>
      <c r="B27" s="8">
        <v>45683</v>
      </c>
      <c r="C27" s="6">
        <v>2025</v>
      </c>
      <c r="D27" s="7" t="s">
        <v>154</v>
      </c>
      <c r="E27" s="6">
        <v>1</v>
      </c>
      <c r="F27" s="7" t="s">
        <v>155</v>
      </c>
      <c r="G27" s="6">
        <v>4</v>
      </c>
      <c r="H27" s="7" t="s">
        <v>160</v>
      </c>
      <c r="I27" s="6">
        <v>1</v>
      </c>
    </row>
    <row r="28" spans="1:9" x14ac:dyDescent="0.35">
      <c r="A28" s="6">
        <v>27</v>
      </c>
      <c r="B28" s="8">
        <v>45684</v>
      </c>
      <c r="C28" s="6">
        <v>2025</v>
      </c>
      <c r="D28" s="7" t="s">
        <v>154</v>
      </c>
      <c r="E28" s="6">
        <v>1</v>
      </c>
      <c r="F28" s="7" t="s">
        <v>155</v>
      </c>
      <c r="G28" s="6">
        <v>5</v>
      </c>
      <c r="H28" s="7" t="s">
        <v>161</v>
      </c>
      <c r="I28" s="6">
        <v>0</v>
      </c>
    </row>
    <row r="29" spans="1:9" x14ac:dyDescent="0.35">
      <c r="A29" s="6">
        <v>28</v>
      </c>
      <c r="B29" s="8">
        <v>45685</v>
      </c>
      <c r="C29" s="6">
        <v>2025</v>
      </c>
      <c r="D29" s="7" t="s">
        <v>154</v>
      </c>
      <c r="E29" s="6">
        <v>1</v>
      </c>
      <c r="F29" s="7" t="s">
        <v>155</v>
      </c>
      <c r="G29" s="6">
        <v>5</v>
      </c>
      <c r="H29" s="7" t="s">
        <v>162</v>
      </c>
      <c r="I29" s="6">
        <v>0</v>
      </c>
    </row>
    <row r="30" spans="1:9" x14ac:dyDescent="0.35">
      <c r="A30" s="6">
        <v>29</v>
      </c>
      <c r="B30" s="8">
        <v>45686</v>
      </c>
      <c r="C30" s="6">
        <v>2025</v>
      </c>
      <c r="D30" s="7" t="s">
        <v>154</v>
      </c>
      <c r="E30" s="6">
        <v>1</v>
      </c>
      <c r="F30" s="7" t="s">
        <v>155</v>
      </c>
      <c r="G30" s="6">
        <v>5</v>
      </c>
      <c r="H30" s="7" t="s">
        <v>156</v>
      </c>
      <c r="I30" s="6">
        <v>0</v>
      </c>
    </row>
    <row r="31" spans="1:9" x14ac:dyDescent="0.35">
      <c r="A31" s="6">
        <v>30</v>
      </c>
      <c r="B31" s="8">
        <v>45687</v>
      </c>
      <c r="C31" s="6">
        <v>2025</v>
      </c>
      <c r="D31" s="7" t="s">
        <v>154</v>
      </c>
      <c r="E31" s="6">
        <v>1</v>
      </c>
      <c r="F31" s="7" t="s">
        <v>155</v>
      </c>
      <c r="G31" s="6">
        <v>5</v>
      </c>
      <c r="H31" s="7" t="s">
        <v>157</v>
      </c>
      <c r="I31" s="6">
        <v>0</v>
      </c>
    </row>
    <row r="32" spans="1:9" x14ac:dyDescent="0.35">
      <c r="A32" s="6">
        <v>31</v>
      </c>
      <c r="B32" s="8">
        <v>45688</v>
      </c>
      <c r="C32" s="6">
        <v>2025</v>
      </c>
      <c r="D32" s="7" t="s">
        <v>154</v>
      </c>
      <c r="E32" s="6">
        <v>1</v>
      </c>
      <c r="F32" s="7" t="s">
        <v>155</v>
      </c>
      <c r="G32" s="6">
        <v>5</v>
      </c>
      <c r="H32" s="7" t="s">
        <v>158</v>
      </c>
      <c r="I32" s="6">
        <v>0</v>
      </c>
    </row>
    <row r="33" spans="1:9" x14ac:dyDescent="0.35">
      <c r="A33" s="6">
        <v>32</v>
      </c>
      <c r="B33" s="8">
        <v>45689</v>
      </c>
      <c r="C33" s="6">
        <v>2025</v>
      </c>
      <c r="D33" s="7" t="s">
        <v>154</v>
      </c>
      <c r="E33" s="6">
        <v>2</v>
      </c>
      <c r="F33" s="7" t="s">
        <v>163</v>
      </c>
      <c r="G33" s="6">
        <v>5</v>
      </c>
      <c r="H33" s="7" t="s">
        <v>159</v>
      </c>
      <c r="I33" s="6">
        <v>1</v>
      </c>
    </row>
    <row r="34" spans="1:9" x14ac:dyDescent="0.35">
      <c r="A34" s="6">
        <v>33</v>
      </c>
      <c r="B34" s="8">
        <v>45690</v>
      </c>
      <c r="C34" s="6">
        <v>2025</v>
      </c>
      <c r="D34" s="7" t="s">
        <v>154</v>
      </c>
      <c r="E34" s="6">
        <v>2</v>
      </c>
      <c r="F34" s="7" t="s">
        <v>163</v>
      </c>
      <c r="G34" s="6">
        <v>5</v>
      </c>
      <c r="H34" s="7" t="s">
        <v>160</v>
      </c>
      <c r="I34" s="6">
        <v>1</v>
      </c>
    </row>
    <row r="35" spans="1:9" x14ac:dyDescent="0.35">
      <c r="A35" s="6">
        <v>34</v>
      </c>
      <c r="B35" s="8">
        <v>45691</v>
      </c>
      <c r="C35" s="6">
        <v>2025</v>
      </c>
      <c r="D35" s="7" t="s">
        <v>154</v>
      </c>
      <c r="E35" s="6">
        <v>2</v>
      </c>
      <c r="F35" s="7" t="s">
        <v>163</v>
      </c>
      <c r="G35" s="6">
        <v>6</v>
      </c>
      <c r="H35" s="7" t="s">
        <v>161</v>
      </c>
      <c r="I35" s="6">
        <v>0</v>
      </c>
    </row>
    <row r="36" spans="1:9" x14ac:dyDescent="0.35">
      <c r="A36" s="6">
        <v>35</v>
      </c>
      <c r="B36" s="8">
        <v>45692</v>
      </c>
      <c r="C36" s="6">
        <v>2025</v>
      </c>
      <c r="D36" s="7" t="s">
        <v>154</v>
      </c>
      <c r="E36" s="6">
        <v>2</v>
      </c>
      <c r="F36" s="7" t="s">
        <v>163</v>
      </c>
      <c r="G36" s="6">
        <v>6</v>
      </c>
      <c r="H36" s="7" t="s">
        <v>162</v>
      </c>
      <c r="I36" s="6">
        <v>0</v>
      </c>
    </row>
    <row r="37" spans="1:9" x14ac:dyDescent="0.35">
      <c r="A37" s="6">
        <v>36</v>
      </c>
      <c r="B37" s="8">
        <v>45693</v>
      </c>
      <c r="C37" s="6">
        <v>2025</v>
      </c>
      <c r="D37" s="7" t="s">
        <v>154</v>
      </c>
      <c r="E37" s="6">
        <v>2</v>
      </c>
      <c r="F37" s="7" t="s">
        <v>163</v>
      </c>
      <c r="G37" s="6">
        <v>6</v>
      </c>
      <c r="H37" s="7" t="s">
        <v>156</v>
      </c>
      <c r="I37" s="6">
        <v>0</v>
      </c>
    </row>
    <row r="38" spans="1:9" x14ac:dyDescent="0.35">
      <c r="A38" s="6">
        <v>37</v>
      </c>
      <c r="B38" s="8">
        <v>45694</v>
      </c>
      <c r="C38" s="6">
        <v>2025</v>
      </c>
      <c r="D38" s="7" t="s">
        <v>154</v>
      </c>
      <c r="E38" s="6">
        <v>2</v>
      </c>
      <c r="F38" s="7" t="s">
        <v>163</v>
      </c>
      <c r="G38" s="6">
        <v>6</v>
      </c>
      <c r="H38" s="7" t="s">
        <v>157</v>
      </c>
      <c r="I38" s="6">
        <v>0</v>
      </c>
    </row>
    <row r="39" spans="1:9" x14ac:dyDescent="0.35">
      <c r="A39" s="6">
        <v>38</v>
      </c>
      <c r="B39" s="8">
        <v>45695</v>
      </c>
      <c r="C39" s="6">
        <v>2025</v>
      </c>
      <c r="D39" s="7" t="s">
        <v>154</v>
      </c>
      <c r="E39" s="6">
        <v>2</v>
      </c>
      <c r="F39" s="7" t="s">
        <v>163</v>
      </c>
      <c r="G39" s="6">
        <v>6</v>
      </c>
      <c r="H39" s="7" t="s">
        <v>158</v>
      </c>
      <c r="I39" s="6">
        <v>0</v>
      </c>
    </row>
    <row r="40" spans="1:9" x14ac:dyDescent="0.35">
      <c r="A40" s="6">
        <v>39</v>
      </c>
      <c r="B40" s="8">
        <v>45696</v>
      </c>
      <c r="C40" s="6">
        <v>2025</v>
      </c>
      <c r="D40" s="7" t="s">
        <v>154</v>
      </c>
      <c r="E40" s="6">
        <v>2</v>
      </c>
      <c r="F40" s="7" t="s">
        <v>163</v>
      </c>
      <c r="G40" s="6">
        <v>6</v>
      </c>
      <c r="H40" s="7" t="s">
        <v>159</v>
      </c>
      <c r="I40" s="6">
        <v>1</v>
      </c>
    </row>
    <row r="41" spans="1:9" x14ac:dyDescent="0.35">
      <c r="A41" s="6">
        <v>40</v>
      </c>
      <c r="B41" s="8">
        <v>45697</v>
      </c>
      <c r="C41" s="6">
        <v>2025</v>
      </c>
      <c r="D41" s="7" t="s">
        <v>154</v>
      </c>
      <c r="E41" s="6">
        <v>2</v>
      </c>
      <c r="F41" s="7" t="s">
        <v>163</v>
      </c>
      <c r="G41" s="6">
        <v>6</v>
      </c>
      <c r="H41" s="7" t="s">
        <v>160</v>
      </c>
      <c r="I41" s="6">
        <v>1</v>
      </c>
    </row>
    <row r="42" spans="1:9" x14ac:dyDescent="0.35">
      <c r="A42" s="6">
        <v>41</v>
      </c>
      <c r="B42" s="8">
        <v>45698</v>
      </c>
      <c r="C42" s="6">
        <v>2025</v>
      </c>
      <c r="D42" s="7" t="s">
        <v>154</v>
      </c>
      <c r="E42" s="6">
        <v>2</v>
      </c>
      <c r="F42" s="7" t="s">
        <v>163</v>
      </c>
      <c r="G42" s="6">
        <v>7</v>
      </c>
      <c r="H42" s="7" t="s">
        <v>161</v>
      </c>
      <c r="I42" s="6">
        <v>0</v>
      </c>
    </row>
    <row r="43" spans="1:9" x14ac:dyDescent="0.35">
      <c r="A43" s="6">
        <v>42</v>
      </c>
      <c r="B43" s="8">
        <v>45699</v>
      </c>
      <c r="C43" s="6">
        <v>2025</v>
      </c>
      <c r="D43" s="7" t="s">
        <v>154</v>
      </c>
      <c r="E43" s="6">
        <v>2</v>
      </c>
      <c r="F43" s="7" t="s">
        <v>163</v>
      </c>
      <c r="G43" s="6">
        <v>7</v>
      </c>
      <c r="H43" s="7" t="s">
        <v>162</v>
      </c>
      <c r="I43" s="6">
        <v>0</v>
      </c>
    </row>
    <row r="44" spans="1:9" x14ac:dyDescent="0.35">
      <c r="A44" s="6">
        <v>43</v>
      </c>
      <c r="B44" s="8">
        <v>45700</v>
      </c>
      <c r="C44" s="6">
        <v>2025</v>
      </c>
      <c r="D44" s="7" t="s">
        <v>154</v>
      </c>
      <c r="E44" s="6">
        <v>2</v>
      </c>
      <c r="F44" s="7" t="s">
        <v>163</v>
      </c>
      <c r="G44" s="6">
        <v>7</v>
      </c>
      <c r="H44" s="7" t="s">
        <v>156</v>
      </c>
      <c r="I44" s="6">
        <v>0</v>
      </c>
    </row>
    <row r="45" spans="1:9" x14ac:dyDescent="0.35">
      <c r="A45" s="6">
        <v>44</v>
      </c>
      <c r="B45" s="8">
        <v>45701</v>
      </c>
      <c r="C45" s="6">
        <v>2025</v>
      </c>
      <c r="D45" s="7" t="s">
        <v>154</v>
      </c>
      <c r="E45" s="6">
        <v>2</v>
      </c>
      <c r="F45" s="7" t="s">
        <v>163</v>
      </c>
      <c r="G45" s="6">
        <v>7</v>
      </c>
      <c r="H45" s="7" t="s">
        <v>157</v>
      </c>
      <c r="I45" s="6">
        <v>0</v>
      </c>
    </row>
    <row r="46" spans="1:9" x14ac:dyDescent="0.35">
      <c r="A46" s="6">
        <v>45</v>
      </c>
      <c r="B46" s="8">
        <v>45702</v>
      </c>
      <c r="C46" s="6">
        <v>2025</v>
      </c>
      <c r="D46" s="7" t="s">
        <v>154</v>
      </c>
      <c r="E46" s="6">
        <v>2</v>
      </c>
      <c r="F46" s="7" t="s">
        <v>163</v>
      </c>
      <c r="G46" s="6">
        <v>7</v>
      </c>
      <c r="H46" s="7" t="s">
        <v>158</v>
      </c>
      <c r="I46" s="6">
        <v>0</v>
      </c>
    </row>
    <row r="47" spans="1:9" x14ac:dyDescent="0.35">
      <c r="A47" s="6">
        <v>46</v>
      </c>
      <c r="B47" s="8">
        <v>45703</v>
      </c>
      <c r="C47" s="6">
        <v>2025</v>
      </c>
      <c r="D47" s="7" t="s">
        <v>154</v>
      </c>
      <c r="E47" s="6">
        <v>2</v>
      </c>
      <c r="F47" s="7" t="s">
        <v>163</v>
      </c>
      <c r="G47" s="6">
        <v>7</v>
      </c>
      <c r="H47" s="7" t="s">
        <v>159</v>
      </c>
      <c r="I47" s="6">
        <v>1</v>
      </c>
    </row>
    <row r="48" spans="1:9" x14ac:dyDescent="0.35">
      <c r="A48" s="6">
        <v>47</v>
      </c>
      <c r="B48" s="8">
        <v>45704</v>
      </c>
      <c r="C48" s="6">
        <v>2025</v>
      </c>
      <c r="D48" s="7" t="s">
        <v>154</v>
      </c>
      <c r="E48" s="6">
        <v>2</v>
      </c>
      <c r="F48" s="7" t="s">
        <v>163</v>
      </c>
      <c r="G48" s="6">
        <v>7</v>
      </c>
      <c r="H48" s="7" t="s">
        <v>160</v>
      </c>
      <c r="I48" s="6">
        <v>1</v>
      </c>
    </row>
    <row r="49" spans="1:9" x14ac:dyDescent="0.35">
      <c r="A49" s="6">
        <v>48</v>
      </c>
      <c r="B49" s="8">
        <v>45705</v>
      </c>
      <c r="C49" s="6">
        <v>2025</v>
      </c>
      <c r="D49" s="7" t="s">
        <v>154</v>
      </c>
      <c r="E49" s="6">
        <v>2</v>
      </c>
      <c r="F49" s="7" t="s">
        <v>163</v>
      </c>
      <c r="G49" s="6">
        <v>8</v>
      </c>
      <c r="H49" s="7" t="s">
        <v>161</v>
      </c>
      <c r="I49" s="6">
        <v>0</v>
      </c>
    </row>
    <row r="50" spans="1:9" x14ac:dyDescent="0.35">
      <c r="A50" s="6">
        <v>49</v>
      </c>
      <c r="B50" s="8">
        <v>45706</v>
      </c>
      <c r="C50" s="6">
        <v>2025</v>
      </c>
      <c r="D50" s="7" t="s">
        <v>154</v>
      </c>
      <c r="E50" s="6">
        <v>2</v>
      </c>
      <c r="F50" s="7" t="s">
        <v>163</v>
      </c>
      <c r="G50" s="6">
        <v>8</v>
      </c>
      <c r="H50" s="7" t="s">
        <v>162</v>
      </c>
      <c r="I50" s="6">
        <v>0</v>
      </c>
    </row>
    <row r="51" spans="1:9" x14ac:dyDescent="0.35">
      <c r="A51" s="6">
        <v>50</v>
      </c>
      <c r="B51" s="8">
        <v>45707</v>
      </c>
      <c r="C51" s="6">
        <v>2025</v>
      </c>
      <c r="D51" s="7" t="s">
        <v>154</v>
      </c>
      <c r="E51" s="6">
        <v>2</v>
      </c>
      <c r="F51" s="7" t="s">
        <v>163</v>
      </c>
      <c r="G51" s="6">
        <v>8</v>
      </c>
      <c r="H51" s="7" t="s">
        <v>156</v>
      </c>
      <c r="I51" s="6">
        <v>0</v>
      </c>
    </row>
    <row r="52" spans="1:9" x14ac:dyDescent="0.35">
      <c r="A52" s="6">
        <v>51</v>
      </c>
      <c r="B52" s="8">
        <v>45708</v>
      </c>
      <c r="C52" s="6">
        <v>2025</v>
      </c>
      <c r="D52" s="7" t="s">
        <v>154</v>
      </c>
      <c r="E52" s="6">
        <v>2</v>
      </c>
      <c r="F52" s="7" t="s">
        <v>163</v>
      </c>
      <c r="G52" s="6">
        <v>8</v>
      </c>
      <c r="H52" s="7" t="s">
        <v>157</v>
      </c>
      <c r="I52" s="6">
        <v>0</v>
      </c>
    </row>
    <row r="53" spans="1:9" x14ac:dyDescent="0.35">
      <c r="A53" s="6">
        <v>52</v>
      </c>
      <c r="B53" s="8">
        <v>45709</v>
      </c>
      <c r="C53" s="6">
        <v>2025</v>
      </c>
      <c r="D53" s="7" t="s">
        <v>154</v>
      </c>
      <c r="E53" s="6">
        <v>2</v>
      </c>
      <c r="F53" s="7" t="s">
        <v>163</v>
      </c>
      <c r="G53" s="6">
        <v>8</v>
      </c>
      <c r="H53" s="7" t="s">
        <v>158</v>
      </c>
      <c r="I53" s="6">
        <v>0</v>
      </c>
    </row>
    <row r="54" spans="1:9" x14ac:dyDescent="0.35">
      <c r="A54" s="6">
        <v>53</v>
      </c>
      <c r="B54" s="8">
        <v>45710</v>
      </c>
      <c r="C54" s="6">
        <v>2025</v>
      </c>
      <c r="D54" s="7" t="s">
        <v>154</v>
      </c>
      <c r="E54" s="6">
        <v>2</v>
      </c>
      <c r="F54" s="7" t="s">
        <v>163</v>
      </c>
      <c r="G54" s="6">
        <v>8</v>
      </c>
      <c r="H54" s="7" t="s">
        <v>159</v>
      </c>
      <c r="I54" s="6">
        <v>1</v>
      </c>
    </row>
    <row r="55" spans="1:9" x14ac:dyDescent="0.35">
      <c r="A55" s="6">
        <v>54</v>
      </c>
      <c r="B55" s="8">
        <v>45711</v>
      </c>
      <c r="C55" s="6">
        <v>2025</v>
      </c>
      <c r="D55" s="7" t="s">
        <v>154</v>
      </c>
      <c r="E55" s="6">
        <v>2</v>
      </c>
      <c r="F55" s="7" t="s">
        <v>163</v>
      </c>
      <c r="G55" s="6">
        <v>8</v>
      </c>
      <c r="H55" s="7" t="s">
        <v>160</v>
      </c>
      <c r="I55" s="6">
        <v>1</v>
      </c>
    </row>
    <row r="56" spans="1:9" x14ac:dyDescent="0.35">
      <c r="A56" s="6">
        <v>55</v>
      </c>
      <c r="B56" s="8">
        <v>45712</v>
      </c>
      <c r="C56" s="6">
        <v>2025</v>
      </c>
      <c r="D56" s="7" t="s">
        <v>154</v>
      </c>
      <c r="E56" s="6">
        <v>2</v>
      </c>
      <c r="F56" s="7" t="s">
        <v>163</v>
      </c>
      <c r="G56" s="6">
        <v>9</v>
      </c>
      <c r="H56" s="7" t="s">
        <v>161</v>
      </c>
      <c r="I56" s="6">
        <v>0</v>
      </c>
    </row>
    <row r="57" spans="1:9" x14ac:dyDescent="0.35">
      <c r="A57" s="6">
        <v>56</v>
      </c>
      <c r="B57" s="8">
        <v>45713</v>
      </c>
      <c r="C57" s="6">
        <v>2025</v>
      </c>
      <c r="D57" s="7" t="s">
        <v>154</v>
      </c>
      <c r="E57" s="6">
        <v>2</v>
      </c>
      <c r="F57" s="7" t="s">
        <v>163</v>
      </c>
      <c r="G57" s="6">
        <v>9</v>
      </c>
      <c r="H57" s="7" t="s">
        <v>162</v>
      </c>
      <c r="I57" s="6">
        <v>0</v>
      </c>
    </row>
    <row r="58" spans="1:9" x14ac:dyDescent="0.35">
      <c r="A58" s="6">
        <v>57</v>
      </c>
      <c r="B58" s="8">
        <v>45714</v>
      </c>
      <c r="C58" s="6">
        <v>2025</v>
      </c>
      <c r="D58" s="7" t="s">
        <v>154</v>
      </c>
      <c r="E58" s="6">
        <v>2</v>
      </c>
      <c r="F58" s="7" t="s">
        <v>163</v>
      </c>
      <c r="G58" s="6">
        <v>9</v>
      </c>
      <c r="H58" s="7" t="s">
        <v>156</v>
      </c>
      <c r="I58" s="6">
        <v>0</v>
      </c>
    </row>
    <row r="59" spans="1:9" x14ac:dyDescent="0.35">
      <c r="A59" s="6">
        <v>58</v>
      </c>
      <c r="B59" s="8">
        <v>45715</v>
      </c>
      <c r="C59" s="6">
        <v>2025</v>
      </c>
      <c r="D59" s="7" t="s">
        <v>154</v>
      </c>
      <c r="E59" s="6">
        <v>2</v>
      </c>
      <c r="F59" s="7" t="s">
        <v>163</v>
      </c>
      <c r="G59" s="6">
        <v>9</v>
      </c>
      <c r="H59" s="7" t="s">
        <v>157</v>
      </c>
      <c r="I59" s="6">
        <v>0</v>
      </c>
    </row>
    <row r="60" spans="1:9" x14ac:dyDescent="0.35">
      <c r="A60" s="6">
        <v>59</v>
      </c>
      <c r="B60" s="8">
        <v>45716</v>
      </c>
      <c r="C60" s="6">
        <v>2025</v>
      </c>
      <c r="D60" s="7" t="s">
        <v>154</v>
      </c>
      <c r="E60" s="6">
        <v>2</v>
      </c>
      <c r="F60" s="7" t="s">
        <v>163</v>
      </c>
      <c r="G60" s="6">
        <v>9</v>
      </c>
      <c r="H60" s="7" t="s">
        <v>158</v>
      </c>
      <c r="I60" s="6">
        <v>0</v>
      </c>
    </row>
    <row r="61" spans="1:9" x14ac:dyDescent="0.35">
      <c r="A61" s="6">
        <v>60</v>
      </c>
      <c r="B61" s="8">
        <v>45717</v>
      </c>
      <c r="C61" s="6">
        <v>2025</v>
      </c>
      <c r="D61" s="7" t="s">
        <v>154</v>
      </c>
      <c r="E61" s="6">
        <v>3</v>
      </c>
      <c r="F61" s="7" t="s">
        <v>164</v>
      </c>
      <c r="G61" s="6">
        <v>9</v>
      </c>
      <c r="H61" s="7" t="s">
        <v>159</v>
      </c>
      <c r="I61" s="6">
        <v>1</v>
      </c>
    </row>
    <row r="62" spans="1:9" x14ac:dyDescent="0.35">
      <c r="A62" s="6">
        <v>61</v>
      </c>
      <c r="B62" s="8">
        <v>45718</v>
      </c>
      <c r="C62" s="6">
        <v>2025</v>
      </c>
      <c r="D62" s="7" t="s">
        <v>154</v>
      </c>
      <c r="E62" s="6">
        <v>3</v>
      </c>
      <c r="F62" s="7" t="s">
        <v>164</v>
      </c>
      <c r="G62" s="6">
        <v>9</v>
      </c>
      <c r="H62" s="7" t="s">
        <v>160</v>
      </c>
      <c r="I62" s="6">
        <v>1</v>
      </c>
    </row>
    <row r="63" spans="1:9" x14ac:dyDescent="0.35">
      <c r="A63" s="6">
        <v>62</v>
      </c>
      <c r="B63" s="8">
        <v>45719</v>
      </c>
      <c r="C63" s="6">
        <v>2025</v>
      </c>
      <c r="D63" s="7" t="s">
        <v>154</v>
      </c>
      <c r="E63" s="6">
        <v>3</v>
      </c>
      <c r="F63" s="7" t="s">
        <v>164</v>
      </c>
      <c r="G63" s="6">
        <v>10</v>
      </c>
      <c r="H63" s="7" t="s">
        <v>161</v>
      </c>
      <c r="I63" s="6">
        <v>0</v>
      </c>
    </row>
    <row r="64" spans="1:9" x14ac:dyDescent="0.35">
      <c r="A64" s="6">
        <v>63</v>
      </c>
      <c r="B64" s="8">
        <v>45720</v>
      </c>
      <c r="C64" s="6">
        <v>2025</v>
      </c>
      <c r="D64" s="7" t="s">
        <v>154</v>
      </c>
      <c r="E64" s="6">
        <v>3</v>
      </c>
      <c r="F64" s="7" t="s">
        <v>164</v>
      </c>
      <c r="G64" s="6">
        <v>10</v>
      </c>
      <c r="H64" s="7" t="s">
        <v>162</v>
      </c>
      <c r="I64" s="6">
        <v>0</v>
      </c>
    </row>
    <row r="65" spans="1:9" x14ac:dyDescent="0.35">
      <c r="A65" s="6">
        <v>64</v>
      </c>
      <c r="B65" s="8">
        <v>45721</v>
      </c>
      <c r="C65" s="6">
        <v>2025</v>
      </c>
      <c r="D65" s="7" t="s">
        <v>154</v>
      </c>
      <c r="E65" s="6">
        <v>3</v>
      </c>
      <c r="F65" s="7" t="s">
        <v>164</v>
      </c>
      <c r="G65" s="6">
        <v>10</v>
      </c>
      <c r="H65" s="7" t="s">
        <v>156</v>
      </c>
      <c r="I65" s="6">
        <v>0</v>
      </c>
    </row>
    <row r="66" spans="1:9" x14ac:dyDescent="0.35">
      <c r="A66" s="6">
        <v>65</v>
      </c>
      <c r="B66" s="8">
        <v>45722</v>
      </c>
      <c r="C66" s="6">
        <v>2025</v>
      </c>
      <c r="D66" s="7" t="s">
        <v>154</v>
      </c>
      <c r="E66" s="6">
        <v>3</v>
      </c>
      <c r="F66" s="7" t="s">
        <v>164</v>
      </c>
      <c r="G66" s="6">
        <v>10</v>
      </c>
      <c r="H66" s="7" t="s">
        <v>157</v>
      </c>
      <c r="I66" s="6">
        <v>0</v>
      </c>
    </row>
    <row r="67" spans="1:9" x14ac:dyDescent="0.35">
      <c r="A67" s="6">
        <v>66</v>
      </c>
      <c r="B67" s="8">
        <v>45723</v>
      </c>
      <c r="C67" s="6">
        <v>2025</v>
      </c>
      <c r="D67" s="7" t="s">
        <v>154</v>
      </c>
      <c r="E67" s="6">
        <v>3</v>
      </c>
      <c r="F67" s="7" t="s">
        <v>164</v>
      </c>
      <c r="G67" s="6">
        <v>10</v>
      </c>
      <c r="H67" s="7" t="s">
        <v>158</v>
      </c>
      <c r="I67" s="6">
        <v>0</v>
      </c>
    </row>
    <row r="68" spans="1:9" x14ac:dyDescent="0.35">
      <c r="A68" s="6">
        <v>67</v>
      </c>
      <c r="B68" s="8">
        <v>45724</v>
      </c>
      <c r="C68" s="6">
        <v>2025</v>
      </c>
      <c r="D68" s="7" t="s">
        <v>154</v>
      </c>
      <c r="E68" s="6">
        <v>3</v>
      </c>
      <c r="F68" s="7" t="s">
        <v>164</v>
      </c>
      <c r="G68" s="6">
        <v>10</v>
      </c>
      <c r="H68" s="7" t="s">
        <v>159</v>
      </c>
      <c r="I68" s="6">
        <v>1</v>
      </c>
    </row>
    <row r="69" spans="1:9" x14ac:dyDescent="0.35">
      <c r="A69" s="6">
        <v>68</v>
      </c>
      <c r="B69" s="8">
        <v>45725</v>
      </c>
      <c r="C69" s="6">
        <v>2025</v>
      </c>
      <c r="D69" s="7" t="s">
        <v>154</v>
      </c>
      <c r="E69" s="6">
        <v>3</v>
      </c>
      <c r="F69" s="7" t="s">
        <v>164</v>
      </c>
      <c r="G69" s="6">
        <v>10</v>
      </c>
      <c r="H69" s="7" t="s">
        <v>160</v>
      </c>
      <c r="I69" s="6">
        <v>1</v>
      </c>
    </row>
    <row r="70" spans="1:9" x14ac:dyDescent="0.35">
      <c r="A70" s="6">
        <v>69</v>
      </c>
      <c r="B70" s="8">
        <v>45726</v>
      </c>
      <c r="C70" s="6">
        <v>2025</v>
      </c>
      <c r="D70" s="7" t="s">
        <v>154</v>
      </c>
      <c r="E70" s="6">
        <v>3</v>
      </c>
      <c r="F70" s="7" t="s">
        <v>164</v>
      </c>
      <c r="G70" s="6">
        <v>11</v>
      </c>
      <c r="H70" s="7" t="s">
        <v>161</v>
      </c>
      <c r="I70" s="6">
        <v>0</v>
      </c>
    </row>
    <row r="71" spans="1:9" x14ac:dyDescent="0.35">
      <c r="A71" s="6">
        <v>70</v>
      </c>
      <c r="B71" s="8">
        <v>45727</v>
      </c>
      <c r="C71" s="6">
        <v>2025</v>
      </c>
      <c r="D71" s="7" t="s">
        <v>154</v>
      </c>
      <c r="E71" s="6">
        <v>3</v>
      </c>
      <c r="F71" s="7" t="s">
        <v>164</v>
      </c>
      <c r="G71" s="6">
        <v>11</v>
      </c>
      <c r="H71" s="7" t="s">
        <v>162</v>
      </c>
      <c r="I71" s="6">
        <v>0</v>
      </c>
    </row>
    <row r="72" spans="1:9" x14ac:dyDescent="0.35">
      <c r="A72" s="6">
        <v>71</v>
      </c>
      <c r="B72" s="8">
        <v>45728</v>
      </c>
      <c r="C72" s="6">
        <v>2025</v>
      </c>
      <c r="D72" s="7" t="s">
        <v>154</v>
      </c>
      <c r="E72" s="6">
        <v>3</v>
      </c>
      <c r="F72" s="7" t="s">
        <v>164</v>
      </c>
      <c r="G72" s="6">
        <v>11</v>
      </c>
      <c r="H72" s="7" t="s">
        <v>156</v>
      </c>
      <c r="I72" s="6">
        <v>0</v>
      </c>
    </row>
    <row r="73" spans="1:9" x14ac:dyDescent="0.35">
      <c r="A73" s="6">
        <v>72</v>
      </c>
      <c r="B73" s="8">
        <v>45729</v>
      </c>
      <c r="C73" s="6">
        <v>2025</v>
      </c>
      <c r="D73" s="7" t="s">
        <v>154</v>
      </c>
      <c r="E73" s="6">
        <v>3</v>
      </c>
      <c r="F73" s="7" t="s">
        <v>164</v>
      </c>
      <c r="G73" s="6">
        <v>11</v>
      </c>
      <c r="H73" s="7" t="s">
        <v>157</v>
      </c>
      <c r="I73" s="6">
        <v>0</v>
      </c>
    </row>
    <row r="74" spans="1:9" x14ac:dyDescent="0.35">
      <c r="A74" s="6">
        <v>73</v>
      </c>
      <c r="B74" s="8">
        <v>45730</v>
      </c>
      <c r="C74" s="6">
        <v>2025</v>
      </c>
      <c r="D74" s="7" t="s">
        <v>154</v>
      </c>
      <c r="E74" s="6">
        <v>3</v>
      </c>
      <c r="F74" s="7" t="s">
        <v>164</v>
      </c>
      <c r="G74" s="6">
        <v>11</v>
      </c>
      <c r="H74" s="7" t="s">
        <v>158</v>
      </c>
      <c r="I74" s="6">
        <v>0</v>
      </c>
    </row>
    <row r="75" spans="1:9" x14ac:dyDescent="0.35">
      <c r="A75" s="6">
        <v>74</v>
      </c>
      <c r="B75" s="8">
        <v>45731</v>
      </c>
      <c r="C75" s="6">
        <v>2025</v>
      </c>
      <c r="D75" s="7" t="s">
        <v>154</v>
      </c>
      <c r="E75" s="6">
        <v>3</v>
      </c>
      <c r="F75" s="7" t="s">
        <v>164</v>
      </c>
      <c r="G75" s="6">
        <v>11</v>
      </c>
      <c r="H75" s="7" t="s">
        <v>159</v>
      </c>
      <c r="I75" s="6">
        <v>1</v>
      </c>
    </row>
    <row r="76" spans="1:9" x14ac:dyDescent="0.35">
      <c r="A76" s="6">
        <v>75</v>
      </c>
      <c r="B76" s="8">
        <v>45732</v>
      </c>
      <c r="C76" s="6">
        <v>2025</v>
      </c>
      <c r="D76" s="7" t="s">
        <v>154</v>
      </c>
      <c r="E76" s="6">
        <v>3</v>
      </c>
      <c r="F76" s="7" t="s">
        <v>164</v>
      </c>
      <c r="G76" s="6">
        <v>11</v>
      </c>
      <c r="H76" s="7" t="s">
        <v>160</v>
      </c>
      <c r="I76" s="6">
        <v>1</v>
      </c>
    </row>
    <row r="77" spans="1:9" x14ac:dyDescent="0.35">
      <c r="A77" s="6">
        <v>76</v>
      </c>
      <c r="B77" s="8">
        <v>45733</v>
      </c>
      <c r="C77" s="6">
        <v>2025</v>
      </c>
      <c r="D77" s="7" t="s">
        <v>154</v>
      </c>
      <c r="E77" s="6">
        <v>3</v>
      </c>
      <c r="F77" s="7" t="s">
        <v>164</v>
      </c>
      <c r="G77" s="6">
        <v>12</v>
      </c>
      <c r="H77" s="7" t="s">
        <v>161</v>
      </c>
      <c r="I77" s="6">
        <v>0</v>
      </c>
    </row>
    <row r="78" spans="1:9" x14ac:dyDescent="0.35">
      <c r="A78" s="6">
        <v>77</v>
      </c>
      <c r="B78" s="8">
        <v>45734</v>
      </c>
      <c r="C78" s="6">
        <v>2025</v>
      </c>
      <c r="D78" s="7" t="s">
        <v>154</v>
      </c>
      <c r="E78" s="6">
        <v>3</v>
      </c>
      <c r="F78" s="7" t="s">
        <v>164</v>
      </c>
      <c r="G78" s="6">
        <v>12</v>
      </c>
      <c r="H78" s="7" t="s">
        <v>162</v>
      </c>
      <c r="I78" s="6">
        <v>0</v>
      </c>
    </row>
    <row r="79" spans="1:9" x14ac:dyDescent="0.35">
      <c r="A79" s="6">
        <v>78</v>
      </c>
      <c r="B79" s="8">
        <v>45735</v>
      </c>
      <c r="C79" s="6">
        <v>2025</v>
      </c>
      <c r="D79" s="7" t="s">
        <v>154</v>
      </c>
      <c r="E79" s="6">
        <v>3</v>
      </c>
      <c r="F79" s="7" t="s">
        <v>164</v>
      </c>
      <c r="G79" s="6">
        <v>12</v>
      </c>
      <c r="H79" s="7" t="s">
        <v>156</v>
      </c>
      <c r="I79" s="6">
        <v>0</v>
      </c>
    </row>
    <row r="80" spans="1:9" x14ac:dyDescent="0.35">
      <c r="A80" s="6">
        <v>79</v>
      </c>
      <c r="B80" s="8">
        <v>45736</v>
      </c>
      <c r="C80" s="6">
        <v>2025</v>
      </c>
      <c r="D80" s="7" t="s">
        <v>154</v>
      </c>
      <c r="E80" s="6">
        <v>3</v>
      </c>
      <c r="F80" s="7" t="s">
        <v>164</v>
      </c>
      <c r="G80" s="6">
        <v>12</v>
      </c>
      <c r="H80" s="7" t="s">
        <v>157</v>
      </c>
      <c r="I80" s="6">
        <v>0</v>
      </c>
    </row>
    <row r="81" spans="1:9" x14ac:dyDescent="0.35">
      <c r="A81" s="6">
        <v>80</v>
      </c>
      <c r="B81" s="8">
        <v>45737</v>
      </c>
      <c r="C81" s="6">
        <v>2025</v>
      </c>
      <c r="D81" s="7" t="s">
        <v>154</v>
      </c>
      <c r="E81" s="6">
        <v>3</v>
      </c>
      <c r="F81" s="7" t="s">
        <v>164</v>
      </c>
      <c r="G81" s="6">
        <v>12</v>
      </c>
      <c r="H81" s="7" t="s">
        <v>158</v>
      </c>
      <c r="I81" s="6">
        <v>0</v>
      </c>
    </row>
    <row r="82" spans="1:9" x14ac:dyDescent="0.35">
      <c r="A82" s="6">
        <v>81</v>
      </c>
      <c r="B82" s="8">
        <v>45738</v>
      </c>
      <c r="C82" s="6">
        <v>2025</v>
      </c>
      <c r="D82" s="7" t="s">
        <v>154</v>
      </c>
      <c r="E82" s="6">
        <v>3</v>
      </c>
      <c r="F82" s="7" t="s">
        <v>164</v>
      </c>
      <c r="G82" s="6">
        <v>12</v>
      </c>
      <c r="H82" s="7" t="s">
        <v>159</v>
      </c>
      <c r="I82" s="6">
        <v>1</v>
      </c>
    </row>
    <row r="83" spans="1:9" x14ac:dyDescent="0.35">
      <c r="A83" s="6">
        <v>82</v>
      </c>
      <c r="B83" s="8">
        <v>45739</v>
      </c>
      <c r="C83" s="6">
        <v>2025</v>
      </c>
      <c r="D83" s="7" t="s">
        <v>154</v>
      </c>
      <c r="E83" s="6">
        <v>3</v>
      </c>
      <c r="F83" s="7" t="s">
        <v>164</v>
      </c>
      <c r="G83" s="6">
        <v>12</v>
      </c>
      <c r="H83" s="7" t="s">
        <v>160</v>
      </c>
      <c r="I83" s="6">
        <v>1</v>
      </c>
    </row>
    <row r="84" spans="1:9" x14ac:dyDescent="0.35">
      <c r="A84" s="6">
        <v>83</v>
      </c>
      <c r="B84" s="8">
        <v>45740</v>
      </c>
      <c r="C84" s="6">
        <v>2025</v>
      </c>
      <c r="D84" s="7" t="s">
        <v>154</v>
      </c>
      <c r="E84" s="6">
        <v>3</v>
      </c>
      <c r="F84" s="7" t="s">
        <v>164</v>
      </c>
      <c r="G84" s="6">
        <v>13</v>
      </c>
      <c r="H84" s="7" t="s">
        <v>161</v>
      </c>
      <c r="I84" s="6">
        <v>0</v>
      </c>
    </row>
    <row r="85" spans="1:9" x14ac:dyDescent="0.35">
      <c r="A85" s="6">
        <v>84</v>
      </c>
      <c r="B85" s="8">
        <v>45741</v>
      </c>
      <c r="C85" s="6">
        <v>2025</v>
      </c>
      <c r="D85" s="7" t="s">
        <v>154</v>
      </c>
      <c r="E85" s="6">
        <v>3</v>
      </c>
      <c r="F85" s="7" t="s">
        <v>164</v>
      </c>
      <c r="G85" s="6">
        <v>13</v>
      </c>
      <c r="H85" s="7" t="s">
        <v>162</v>
      </c>
      <c r="I85" s="6">
        <v>0</v>
      </c>
    </row>
    <row r="86" spans="1:9" x14ac:dyDescent="0.35">
      <c r="A86" s="6">
        <v>85</v>
      </c>
      <c r="B86" s="8">
        <v>45742</v>
      </c>
      <c r="C86" s="6">
        <v>2025</v>
      </c>
      <c r="D86" s="7" t="s">
        <v>154</v>
      </c>
      <c r="E86" s="6">
        <v>3</v>
      </c>
      <c r="F86" s="7" t="s">
        <v>164</v>
      </c>
      <c r="G86" s="6">
        <v>13</v>
      </c>
      <c r="H86" s="7" t="s">
        <v>156</v>
      </c>
      <c r="I86" s="6">
        <v>0</v>
      </c>
    </row>
    <row r="87" spans="1:9" x14ac:dyDescent="0.35">
      <c r="A87" s="6">
        <v>86</v>
      </c>
      <c r="B87" s="8">
        <v>45743</v>
      </c>
      <c r="C87" s="6">
        <v>2025</v>
      </c>
      <c r="D87" s="7" t="s">
        <v>154</v>
      </c>
      <c r="E87" s="6">
        <v>3</v>
      </c>
      <c r="F87" s="7" t="s">
        <v>164</v>
      </c>
      <c r="G87" s="6">
        <v>13</v>
      </c>
      <c r="H87" s="7" t="s">
        <v>157</v>
      </c>
      <c r="I87" s="6">
        <v>0</v>
      </c>
    </row>
    <row r="88" spans="1:9" x14ac:dyDescent="0.35">
      <c r="A88" s="6">
        <v>87</v>
      </c>
      <c r="B88" s="8">
        <v>45744</v>
      </c>
      <c r="C88" s="6">
        <v>2025</v>
      </c>
      <c r="D88" s="7" t="s">
        <v>154</v>
      </c>
      <c r="E88" s="6">
        <v>3</v>
      </c>
      <c r="F88" s="7" t="s">
        <v>164</v>
      </c>
      <c r="G88" s="6">
        <v>13</v>
      </c>
      <c r="H88" s="7" t="s">
        <v>158</v>
      </c>
      <c r="I88" s="6">
        <v>0</v>
      </c>
    </row>
    <row r="89" spans="1:9" x14ac:dyDescent="0.35">
      <c r="A89" s="6">
        <v>88</v>
      </c>
      <c r="B89" s="8">
        <v>45745</v>
      </c>
      <c r="C89" s="6">
        <v>2025</v>
      </c>
      <c r="D89" s="7" t="s">
        <v>154</v>
      </c>
      <c r="E89" s="6">
        <v>3</v>
      </c>
      <c r="F89" s="7" t="s">
        <v>164</v>
      </c>
      <c r="G89" s="6">
        <v>13</v>
      </c>
      <c r="H89" s="7" t="s">
        <v>159</v>
      </c>
      <c r="I89" s="6">
        <v>1</v>
      </c>
    </row>
    <row r="90" spans="1:9" x14ac:dyDescent="0.35">
      <c r="A90" s="6">
        <v>89</v>
      </c>
      <c r="B90" s="8">
        <v>45746</v>
      </c>
      <c r="C90" s="6">
        <v>2025</v>
      </c>
      <c r="D90" s="7" t="s">
        <v>154</v>
      </c>
      <c r="E90" s="6">
        <v>3</v>
      </c>
      <c r="F90" s="7" t="s">
        <v>164</v>
      </c>
      <c r="G90" s="6">
        <v>13</v>
      </c>
      <c r="H90" s="7" t="s">
        <v>160</v>
      </c>
      <c r="I90" s="6">
        <v>1</v>
      </c>
    </row>
    <row r="91" spans="1:9" x14ac:dyDescent="0.35">
      <c r="A91" s="6">
        <v>90</v>
      </c>
      <c r="B91" s="8">
        <v>45747</v>
      </c>
      <c r="C91" s="6">
        <v>2025</v>
      </c>
      <c r="D91" s="7" t="s">
        <v>154</v>
      </c>
      <c r="E91" s="6">
        <v>3</v>
      </c>
      <c r="F91" s="7" t="s">
        <v>164</v>
      </c>
      <c r="G91" s="6">
        <v>14</v>
      </c>
      <c r="H91" s="7" t="s">
        <v>161</v>
      </c>
      <c r="I91" s="6">
        <v>0</v>
      </c>
    </row>
    <row r="92" spans="1:9" x14ac:dyDescent="0.35">
      <c r="A92" s="6">
        <v>91</v>
      </c>
      <c r="B92" s="8">
        <v>45748</v>
      </c>
      <c r="C92" s="6">
        <v>2025</v>
      </c>
      <c r="D92" s="7" t="s">
        <v>165</v>
      </c>
      <c r="E92" s="6">
        <v>4</v>
      </c>
      <c r="F92" s="7" t="s">
        <v>166</v>
      </c>
      <c r="G92" s="6">
        <v>14</v>
      </c>
      <c r="H92" s="7" t="s">
        <v>162</v>
      </c>
      <c r="I92" s="6">
        <v>0</v>
      </c>
    </row>
    <row r="93" spans="1:9" x14ac:dyDescent="0.35">
      <c r="A93" s="6">
        <v>92</v>
      </c>
      <c r="B93" s="8">
        <v>45749</v>
      </c>
      <c r="C93" s="6">
        <v>2025</v>
      </c>
      <c r="D93" s="7" t="s">
        <v>165</v>
      </c>
      <c r="E93" s="6">
        <v>4</v>
      </c>
      <c r="F93" s="7" t="s">
        <v>166</v>
      </c>
      <c r="G93" s="6">
        <v>14</v>
      </c>
      <c r="H93" s="7" t="s">
        <v>156</v>
      </c>
      <c r="I93" s="6">
        <v>0</v>
      </c>
    </row>
    <row r="94" spans="1:9" x14ac:dyDescent="0.35">
      <c r="A94" s="6">
        <v>93</v>
      </c>
      <c r="B94" s="8">
        <v>45750</v>
      </c>
      <c r="C94" s="6">
        <v>2025</v>
      </c>
      <c r="D94" s="7" t="s">
        <v>165</v>
      </c>
      <c r="E94" s="6">
        <v>4</v>
      </c>
      <c r="F94" s="7" t="s">
        <v>166</v>
      </c>
      <c r="G94" s="6">
        <v>14</v>
      </c>
      <c r="H94" s="7" t="s">
        <v>157</v>
      </c>
      <c r="I94" s="6">
        <v>0</v>
      </c>
    </row>
    <row r="95" spans="1:9" x14ac:dyDescent="0.35">
      <c r="A95" s="6">
        <v>94</v>
      </c>
      <c r="B95" s="8">
        <v>45751</v>
      </c>
      <c r="C95" s="6">
        <v>2025</v>
      </c>
      <c r="D95" s="7" t="s">
        <v>165</v>
      </c>
      <c r="E95" s="6">
        <v>4</v>
      </c>
      <c r="F95" s="7" t="s">
        <v>166</v>
      </c>
      <c r="G95" s="6">
        <v>14</v>
      </c>
      <c r="H95" s="7" t="s">
        <v>158</v>
      </c>
      <c r="I95" s="6">
        <v>0</v>
      </c>
    </row>
    <row r="96" spans="1:9" x14ac:dyDescent="0.35">
      <c r="A96" s="6">
        <v>95</v>
      </c>
      <c r="B96" s="8">
        <v>45752</v>
      </c>
      <c r="C96" s="6">
        <v>2025</v>
      </c>
      <c r="D96" s="7" t="s">
        <v>165</v>
      </c>
      <c r="E96" s="6">
        <v>4</v>
      </c>
      <c r="F96" s="7" t="s">
        <v>166</v>
      </c>
      <c r="G96" s="6">
        <v>14</v>
      </c>
      <c r="H96" s="7" t="s">
        <v>159</v>
      </c>
      <c r="I96" s="6">
        <v>1</v>
      </c>
    </row>
    <row r="97" spans="1:9" x14ac:dyDescent="0.35">
      <c r="A97" s="6">
        <v>96</v>
      </c>
      <c r="B97" s="8">
        <v>45753</v>
      </c>
      <c r="C97" s="6">
        <v>2025</v>
      </c>
      <c r="D97" s="7" t="s">
        <v>165</v>
      </c>
      <c r="E97" s="6">
        <v>4</v>
      </c>
      <c r="F97" s="7" t="s">
        <v>166</v>
      </c>
      <c r="G97" s="6">
        <v>14</v>
      </c>
      <c r="H97" s="7" t="s">
        <v>160</v>
      </c>
      <c r="I97" s="6">
        <v>1</v>
      </c>
    </row>
    <row r="98" spans="1:9" x14ac:dyDescent="0.35">
      <c r="A98" s="6">
        <v>97</v>
      </c>
      <c r="B98" s="8">
        <v>45754</v>
      </c>
      <c r="C98" s="6">
        <v>2025</v>
      </c>
      <c r="D98" s="7" t="s">
        <v>165</v>
      </c>
      <c r="E98" s="6">
        <v>4</v>
      </c>
      <c r="F98" s="7" t="s">
        <v>166</v>
      </c>
      <c r="G98" s="6">
        <v>15</v>
      </c>
      <c r="H98" s="7" t="s">
        <v>161</v>
      </c>
      <c r="I98" s="6">
        <v>0</v>
      </c>
    </row>
    <row r="99" spans="1:9" x14ac:dyDescent="0.35">
      <c r="A99" s="6">
        <v>98</v>
      </c>
      <c r="B99" s="8">
        <v>45755</v>
      </c>
      <c r="C99" s="6">
        <v>2025</v>
      </c>
      <c r="D99" s="7" t="s">
        <v>165</v>
      </c>
      <c r="E99" s="6">
        <v>4</v>
      </c>
      <c r="F99" s="7" t="s">
        <v>166</v>
      </c>
      <c r="G99" s="6">
        <v>15</v>
      </c>
      <c r="H99" s="7" t="s">
        <v>162</v>
      </c>
      <c r="I99" s="6">
        <v>0</v>
      </c>
    </row>
    <row r="100" spans="1:9" x14ac:dyDescent="0.35">
      <c r="A100" s="6">
        <v>99</v>
      </c>
      <c r="B100" s="8">
        <v>45756</v>
      </c>
      <c r="C100" s="6">
        <v>2025</v>
      </c>
      <c r="D100" s="7" t="s">
        <v>165</v>
      </c>
      <c r="E100" s="6">
        <v>4</v>
      </c>
      <c r="F100" s="7" t="s">
        <v>166</v>
      </c>
      <c r="G100" s="6">
        <v>15</v>
      </c>
      <c r="H100" s="7" t="s">
        <v>156</v>
      </c>
      <c r="I100" s="6">
        <v>0</v>
      </c>
    </row>
    <row r="101" spans="1:9" x14ac:dyDescent="0.35">
      <c r="A101" s="6">
        <v>100</v>
      </c>
      <c r="B101" s="8">
        <v>45757</v>
      </c>
      <c r="C101" s="6">
        <v>2025</v>
      </c>
      <c r="D101" s="7" t="s">
        <v>165</v>
      </c>
      <c r="E101" s="6">
        <v>4</v>
      </c>
      <c r="F101" s="7" t="s">
        <v>166</v>
      </c>
      <c r="G101" s="6">
        <v>15</v>
      </c>
      <c r="H101" s="7" t="s">
        <v>157</v>
      </c>
      <c r="I101" s="6">
        <v>0</v>
      </c>
    </row>
    <row r="102" spans="1:9" x14ac:dyDescent="0.35">
      <c r="A102" s="6">
        <v>101</v>
      </c>
      <c r="B102" s="8">
        <v>45758</v>
      </c>
      <c r="C102" s="6">
        <v>2025</v>
      </c>
      <c r="D102" s="7" t="s">
        <v>165</v>
      </c>
      <c r="E102" s="6">
        <v>4</v>
      </c>
      <c r="F102" s="7" t="s">
        <v>166</v>
      </c>
      <c r="G102" s="6">
        <v>15</v>
      </c>
      <c r="H102" s="7" t="s">
        <v>158</v>
      </c>
      <c r="I102" s="6">
        <v>0</v>
      </c>
    </row>
    <row r="103" spans="1:9" x14ac:dyDescent="0.35">
      <c r="A103" s="6">
        <v>102</v>
      </c>
      <c r="B103" s="8">
        <v>45759</v>
      </c>
      <c r="C103" s="6">
        <v>2025</v>
      </c>
      <c r="D103" s="7" t="s">
        <v>165</v>
      </c>
      <c r="E103" s="6">
        <v>4</v>
      </c>
      <c r="F103" s="7" t="s">
        <v>166</v>
      </c>
      <c r="G103" s="6">
        <v>15</v>
      </c>
      <c r="H103" s="7" t="s">
        <v>159</v>
      </c>
      <c r="I103" s="6">
        <v>1</v>
      </c>
    </row>
    <row r="104" spans="1:9" x14ac:dyDescent="0.35">
      <c r="A104" s="6">
        <v>103</v>
      </c>
      <c r="B104" s="8">
        <v>45760</v>
      </c>
      <c r="C104" s="6">
        <v>2025</v>
      </c>
      <c r="D104" s="7" t="s">
        <v>165</v>
      </c>
      <c r="E104" s="6">
        <v>4</v>
      </c>
      <c r="F104" s="7" t="s">
        <v>166</v>
      </c>
      <c r="G104" s="6">
        <v>15</v>
      </c>
      <c r="H104" s="7" t="s">
        <v>160</v>
      </c>
      <c r="I104" s="6">
        <v>1</v>
      </c>
    </row>
    <row r="105" spans="1:9" x14ac:dyDescent="0.35">
      <c r="A105" s="6">
        <v>104</v>
      </c>
      <c r="B105" s="8">
        <v>45761</v>
      </c>
      <c r="C105" s="6">
        <v>2025</v>
      </c>
      <c r="D105" s="7" t="s">
        <v>165</v>
      </c>
      <c r="E105" s="6">
        <v>4</v>
      </c>
      <c r="F105" s="7" t="s">
        <v>166</v>
      </c>
      <c r="G105" s="6">
        <v>16</v>
      </c>
      <c r="H105" s="7" t="s">
        <v>161</v>
      </c>
      <c r="I105" s="6">
        <v>0</v>
      </c>
    </row>
    <row r="106" spans="1:9" x14ac:dyDescent="0.35">
      <c r="A106" s="6">
        <v>105</v>
      </c>
      <c r="B106" s="8">
        <v>45762</v>
      </c>
      <c r="C106" s="6">
        <v>2025</v>
      </c>
      <c r="D106" s="7" t="s">
        <v>165</v>
      </c>
      <c r="E106" s="6">
        <v>4</v>
      </c>
      <c r="F106" s="7" t="s">
        <v>166</v>
      </c>
      <c r="G106" s="6">
        <v>16</v>
      </c>
      <c r="H106" s="7" t="s">
        <v>162</v>
      </c>
      <c r="I106" s="6">
        <v>0</v>
      </c>
    </row>
    <row r="107" spans="1:9" x14ac:dyDescent="0.35">
      <c r="A107" s="6">
        <v>106</v>
      </c>
      <c r="B107" s="8">
        <v>45763</v>
      </c>
      <c r="C107" s="6">
        <v>2025</v>
      </c>
      <c r="D107" s="7" t="s">
        <v>165</v>
      </c>
      <c r="E107" s="6">
        <v>4</v>
      </c>
      <c r="F107" s="7" t="s">
        <v>166</v>
      </c>
      <c r="G107" s="6">
        <v>16</v>
      </c>
      <c r="H107" s="7" t="s">
        <v>156</v>
      </c>
      <c r="I107" s="6">
        <v>0</v>
      </c>
    </row>
    <row r="108" spans="1:9" x14ac:dyDescent="0.35">
      <c r="A108" s="6">
        <v>107</v>
      </c>
      <c r="B108" s="8">
        <v>45764</v>
      </c>
      <c r="C108" s="6">
        <v>2025</v>
      </c>
      <c r="D108" s="7" t="s">
        <v>165</v>
      </c>
      <c r="E108" s="6">
        <v>4</v>
      </c>
      <c r="F108" s="7" t="s">
        <v>166</v>
      </c>
      <c r="G108" s="6">
        <v>16</v>
      </c>
      <c r="H108" s="7" t="s">
        <v>157</v>
      </c>
      <c r="I108" s="6">
        <v>0</v>
      </c>
    </row>
    <row r="109" spans="1:9" x14ac:dyDescent="0.35">
      <c r="A109" s="6">
        <v>108</v>
      </c>
      <c r="B109" s="8">
        <v>45765</v>
      </c>
      <c r="C109" s="6">
        <v>2025</v>
      </c>
      <c r="D109" s="7" t="s">
        <v>165</v>
      </c>
      <c r="E109" s="6">
        <v>4</v>
      </c>
      <c r="F109" s="7" t="s">
        <v>166</v>
      </c>
      <c r="G109" s="6">
        <v>16</v>
      </c>
      <c r="H109" s="7" t="s">
        <v>158</v>
      </c>
      <c r="I109" s="6">
        <v>0</v>
      </c>
    </row>
    <row r="110" spans="1:9" x14ac:dyDescent="0.35">
      <c r="A110" s="6">
        <v>109</v>
      </c>
      <c r="B110" s="8">
        <v>45766</v>
      </c>
      <c r="C110" s="6">
        <v>2025</v>
      </c>
      <c r="D110" s="7" t="s">
        <v>165</v>
      </c>
      <c r="E110" s="6">
        <v>4</v>
      </c>
      <c r="F110" s="7" t="s">
        <v>166</v>
      </c>
      <c r="G110" s="6">
        <v>16</v>
      </c>
      <c r="H110" s="7" t="s">
        <v>159</v>
      </c>
      <c r="I110" s="6">
        <v>1</v>
      </c>
    </row>
    <row r="111" spans="1:9" x14ac:dyDescent="0.35">
      <c r="A111" s="6">
        <v>110</v>
      </c>
      <c r="B111" s="8">
        <v>45767</v>
      </c>
      <c r="C111" s="6">
        <v>2025</v>
      </c>
      <c r="D111" s="7" t="s">
        <v>165</v>
      </c>
      <c r="E111" s="6">
        <v>4</v>
      </c>
      <c r="F111" s="7" t="s">
        <v>166</v>
      </c>
      <c r="G111" s="6">
        <v>16</v>
      </c>
      <c r="H111" s="7" t="s">
        <v>160</v>
      </c>
      <c r="I111" s="6">
        <v>1</v>
      </c>
    </row>
    <row r="112" spans="1:9" x14ac:dyDescent="0.35">
      <c r="A112" s="6">
        <v>111</v>
      </c>
      <c r="B112" s="8">
        <v>45768</v>
      </c>
      <c r="C112" s="6">
        <v>2025</v>
      </c>
      <c r="D112" s="7" t="s">
        <v>165</v>
      </c>
      <c r="E112" s="6">
        <v>4</v>
      </c>
      <c r="F112" s="7" t="s">
        <v>166</v>
      </c>
      <c r="G112" s="6">
        <v>17</v>
      </c>
      <c r="H112" s="7" t="s">
        <v>161</v>
      </c>
      <c r="I112" s="6">
        <v>0</v>
      </c>
    </row>
    <row r="113" spans="1:9" x14ac:dyDescent="0.35">
      <c r="A113" s="6">
        <v>112</v>
      </c>
      <c r="B113" s="8">
        <v>45769</v>
      </c>
      <c r="C113" s="6">
        <v>2025</v>
      </c>
      <c r="D113" s="7" t="s">
        <v>165</v>
      </c>
      <c r="E113" s="6">
        <v>4</v>
      </c>
      <c r="F113" s="7" t="s">
        <v>166</v>
      </c>
      <c r="G113" s="6">
        <v>17</v>
      </c>
      <c r="H113" s="7" t="s">
        <v>162</v>
      </c>
      <c r="I113" s="6">
        <v>0</v>
      </c>
    </row>
    <row r="114" spans="1:9" x14ac:dyDescent="0.35">
      <c r="A114" s="6">
        <v>113</v>
      </c>
      <c r="B114" s="8">
        <v>45770</v>
      </c>
      <c r="C114" s="6">
        <v>2025</v>
      </c>
      <c r="D114" s="7" t="s">
        <v>165</v>
      </c>
      <c r="E114" s="6">
        <v>4</v>
      </c>
      <c r="F114" s="7" t="s">
        <v>166</v>
      </c>
      <c r="G114" s="6">
        <v>17</v>
      </c>
      <c r="H114" s="7" t="s">
        <v>156</v>
      </c>
      <c r="I114" s="6">
        <v>0</v>
      </c>
    </row>
    <row r="115" spans="1:9" x14ac:dyDescent="0.35">
      <c r="A115" s="6">
        <v>114</v>
      </c>
      <c r="B115" s="8">
        <v>45771</v>
      </c>
      <c r="C115" s="6">
        <v>2025</v>
      </c>
      <c r="D115" s="7" t="s">
        <v>165</v>
      </c>
      <c r="E115" s="6">
        <v>4</v>
      </c>
      <c r="F115" s="7" t="s">
        <v>166</v>
      </c>
      <c r="G115" s="6">
        <v>17</v>
      </c>
      <c r="H115" s="7" t="s">
        <v>157</v>
      </c>
      <c r="I115" s="6">
        <v>0</v>
      </c>
    </row>
    <row r="116" spans="1:9" x14ac:dyDescent="0.35">
      <c r="A116" s="6">
        <v>115</v>
      </c>
      <c r="B116" s="8">
        <v>45772</v>
      </c>
      <c r="C116" s="6">
        <v>2025</v>
      </c>
      <c r="D116" s="7" t="s">
        <v>165</v>
      </c>
      <c r="E116" s="6">
        <v>4</v>
      </c>
      <c r="F116" s="7" t="s">
        <v>166</v>
      </c>
      <c r="G116" s="6">
        <v>17</v>
      </c>
      <c r="H116" s="7" t="s">
        <v>158</v>
      </c>
      <c r="I116" s="6">
        <v>0</v>
      </c>
    </row>
    <row r="117" spans="1:9" x14ac:dyDescent="0.35">
      <c r="A117" s="6">
        <v>116</v>
      </c>
      <c r="B117" s="8">
        <v>45773</v>
      </c>
      <c r="C117" s="6">
        <v>2025</v>
      </c>
      <c r="D117" s="7" t="s">
        <v>165</v>
      </c>
      <c r="E117" s="6">
        <v>4</v>
      </c>
      <c r="F117" s="7" t="s">
        <v>166</v>
      </c>
      <c r="G117" s="6">
        <v>17</v>
      </c>
      <c r="H117" s="7" t="s">
        <v>159</v>
      </c>
      <c r="I117" s="6">
        <v>1</v>
      </c>
    </row>
    <row r="118" spans="1:9" x14ac:dyDescent="0.35">
      <c r="A118" s="6">
        <v>117</v>
      </c>
      <c r="B118" s="8">
        <v>45774</v>
      </c>
      <c r="C118" s="6">
        <v>2025</v>
      </c>
      <c r="D118" s="7" t="s">
        <v>165</v>
      </c>
      <c r="E118" s="6">
        <v>4</v>
      </c>
      <c r="F118" s="7" t="s">
        <v>166</v>
      </c>
      <c r="G118" s="6">
        <v>17</v>
      </c>
      <c r="H118" s="7" t="s">
        <v>160</v>
      </c>
      <c r="I118" s="6">
        <v>1</v>
      </c>
    </row>
    <row r="119" spans="1:9" x14ac:dyDescent="0.35">
      <c r="A119" s="6">
        <v>118</v>
      </c>
      <c r="B119" s="8">
        <v>45775</v>
      </c>
      <c r="C119" s="6">
        <v>2025</v>
      </c>
      <c r="D119" s="7" t="s">
        <v>165</v>
      </c>
      <c r="E119" s="6">
        <v>4</v>
      </c>
      <c r="F119" s="7" t="s">
        <v>166</v>
      </c>
      <c r="G119" s="6">
        <v>18</v>
      </c>
      <c r="H119" s="7" t="s">
        <v>161</v>
      </c>
      <c r="I119" s="6">
        <v>0</v>
      </c>
    </row>
    <row r="120" spans="1:9" x14ac:dyDescent="0.35">
      <c r="A120" s="6">
        <v>119</v>
      </c>
      <c r="B120" s="8">
        <v>45776</v>
      </c>
      <c r="C120" s="6">
        <v>2025</v>
      </c>
      <c r="D120" s="7" t="s">
        <v>165</v>
      </c>
      <c r="E120" s="6">
        <v>4</v>
      </c>
      <c r="F120" s="7" t="s">
        <v>166</v>
      </c>
      <c r="G120" s="6">
        <v>18</v>
      </c>
      <c r="H120" s="7" t="s">
        <v>162</v>
      </c>
      <c r="I120" s="6">
        <v>0</v>
      </c>
    </row>
    <row r="121" spans="1:9" x14ac:dyDescent="0.35">
      <c r="A121" s="6">
        <v>120</v>
      </c>
      <c r="B121" s="8">
        <v>45777</v>
      </c>
      <c r="C121" s="6">
        <v>2025</v>
      </c>
      <c r="D121" s="7" t="s">
        <v>165</v>
      </c>
      <c r="E121" s="6">
        <v>4</v>
      </c>
      <c r="F121" s="7" t="s">
        <v>166</v>
      </c>
      <c r="G121" s="6">
        <v>18</v>
      </c>
      <c r="H121" s="7" t="s">
        <v>156</v>
      </c>
      <c r="I121" s="6">
        <v>0</v>
      </c>
    </row>
    <row r="122" spans="1:9" x14ac:dyDescent="0.35">
      <c r="A122" s="6">
        <v>121</v>
      </c>
      <c r="B122" s="8">
        <v>45778</v>
      </c>
      <c r="C122" s="6">
        <v>2025</v>
      </c>
      <c r="D122" s="7" t="s">
        <v>165</v>
      </c>
      <c r="E122" s="6">
        <v>5</v>
      </c>
      <c r="F122" s="7" t="s">
        <v>167</v>
      </c>
      <c r="G122" s="6">
        <v>18</v>
      </c>
      <c r="H122" s="7" t="s">
        <v>157</v>
      </c>
      <c r="I122" s="6">
        <v>0</v>
      </c>
    </row>
    <row r="123" spans="1:9" x14ac:dyDescent="0.35">
      <c r="A123" s="6">
        <v>122</v>
      </c>
      <c r="B123" s="8">
        <v>45779</v>
      </c>
      <c r="C123" s="6">
        <v>2025</v>
      </c>
      <c r="D123" s="7" t="s">
        <v>165</v>
      </c>
      <c r="E123" s="6">
        <v>5</v>
      </c>
      <c r="F123" s="7" t="s">
        <v>167</v>
      </c>
      <c r="G123" s="6">
        <v>18</v>
      </c>
      <c r="H123" s="7" t="s">
        <v>158</v>
      </c>
      <c r="I123" s="6">
        <v>0</v>
      </c>
    </row>
    <row r="124" spans="1:9" x14ac:dyDescent="0.35">
      <c r="A124" s="6">
        <v>123</v>
      </c>
      <c r="B124" s="8">
        <v>45780</v>
      </c>
      <c r="C124" s="6">
        <v>2025</v>
      </c>
      <c r="D124" s="7" t="s">
        <v>165</v>
      </c>
      <c r="E124" s="6">
        <v>5</v>
      </c>
      <c r="F124" s="7" t="s">
        <v>167</v>
      </c>
      <c r="G124" s="6">
        <v>18</v>
      </c>
      <c r="H124" s="7" t="s">
        <v>159</v>
      </c>
      <c r="I124" s="6">
        <v>1</v>
      </c>
    </row>
    <row r="125" spans="1:9" x14ac:dyDescent="0.35">
      <c r="A125" s="6">
        <v>124</v>
      </c>
      <c r="B125" s="8">
        <v>45781</v>
      </c>
      <c r="C125" s="6">
        <v>2025</v>
      </c>
      <c r="D125" s="7" t="s">
        <v>165</v>
      </c>
      <c r="E125" s="6">
        <v>5</v>
      </c>
      <c r="F125" s="7" t="s">
        <v>167</v>
      </c>
      <c r="G125" s="6">
        <v>18</v>
      </c>
      <c r="H125" s="7" t="s">
        <v>160</v>
      </c>
      <c r="I125" s="6">
        <v>1</v>
      </c>
    </row>
    <row r="126" spans="1:9" x14ac:dyDescent="0.35">
      <c r="A126" s="6">
        <v>125</v>
      </c>
      <c r="B126" s="8">
        <v>45782</v>
      </c>
      <c r="C126" s="6">
        <v>2025</v>
      </c>
      <c r="D126" s="7" t="s">
        <v>165</v>
      </c>
      <c r="E126" s="6">
        <v>5</v>
      </c>
      <c r="F126" s="7" t="s">
        <v>167</v>
      </c>
      <c r="G126" s="6">
        <v>19</v>
      </c>
      <c r="H126" s="7" t="s">
        <v>161</v>
      </c>
      <c r="I126" s="6">
        <v>0</v>
      </c>
    </row>
    <row r="127" spans="1:9" x14ac:dyDescent="0.35">
      <c r="A127" s="6">
        <v>126</v>
      </c>
      <c r="B127" s="8">
        <v>45783</v>
      </c>
      <c r="C127" s="6">
        <v>2025</v>
      </c>
      <c r="D127" s="7" t="s">
        <v>165</v>
      </c>
      <c r="E127" s="6">
        <v>5</v>
      </c>
      <c r="F127" s="7" t="s">
        <v>167</v>
      </c>
      <c r="G127" s="6">
        <v>19</v>
      </c>
      <c r="H127" s="7" t="s">
        <v>162</v>
      </c>
      <c r="I127" s="6">
        <v>0</v>
      </c>
    </row>
    <row r="128" spans="1:9" x14ac:dyDescent="0.35">
      <c r="A128" s="6">
        <v>127</v>
      </c>
      <c r="B128" s="8">
        <v>45784</v>
      </c>
      <c r="C128" s="6">
        <v>2025</v>
      </c>
      <c r="D128" s="7" t="s">
        <v>165</v>
      </c>
      <c r="E128" s="6">
        <v>5</v>
      </c>
      <c r="F128" s="7" t="s">
        <v>167</v>
      </c>
      <c r="G128" s="6">
        <v>19</v>
      </c>
      <c r="H128" s="7" t="s">
        <v>156</v>
      </c>
      <c r="I128" s="6">
        <v>0</v>
      </c>
    </row>
    <row r="129" spans="1:9" x14ac:dyDescent="0.35">
      <c r="A129" s="6">
        <v>128</v>
      </c>
      <c r="B129" s="8">
        <v>45785</v>
      </c>
      <c r="C129" s="6">
        <v>2025</v>
      </c>
      <c r="D129" s="7" t="s">
        <v>165</v>
      </c>
      <c r="E129" s="6">
        <v>5</v>
      </c>
      <c r="F129" s="7" t="s">
        <v>167</v>
      </c>
      <c r="G129" s="6">
        <v>19</v>
      </c>
      <c r="H129" s="7" t="s">
        <v>157</v>
      </c>
      <c r="I129" s="6">
        <v>0</v>
      </c>
    </row>
    <row r="130" spans="1:9" x14ac:dyDescent="0.35">
      <c r="A130" s="6">
        <v>129</v>
      </c>
      <c r="B130" s="8">
        <v>45786</v>
      </c>
      <c r="C130" s="6">
        <v>2025</v>
      </c>
      <c r="D130" s="7" t="s">
        <v>165</v>
      </c>
      <c r="E130" s="6">
        <v>5</v>
      </c>
      <c r="F130" s="7" t="s">
        <v>167</v>
      </c>
      <c r="G130" s="6">
        <v>19</v>
      </c>
      <c r="H130" s="7" t="s">
        <v>158</v>
      </c>
      <c r="I130" s="6">
        <v>0</v>
      </c>
    </row>
    <row r="131" spans="1:9" x14ac:dyDescent="0.35">
      <c r="A131" s="6">
        <v>130</v>
      </c>
      <c r="B131" s="8">
        <v>45787</v>
      </c>
      <c r="C131" s="6">
        <v>2025</v>
      </c>
      <c r="D131" s="7" t="s">
        <v>165</v>
      </c>
      <c r="E131" s="6">
        <v>5</v>
      </c>
      <c r="F131" s="7" t="s">
        <v>167</v>
      </c>
      <c r="G131" s="6">
        <v>19</v>
      </c>
      <c r="H131" s="7" t="s">
        <v>159</v>
      </c>
      <c r="I131" s="6">
        <v>1</v>
      </c>
    </row>
    <row r="132" spans="1:9" x14ac:dyDescent="0.35">
      <c r="A132" s="6">
        <v>131</v>
      </c>
      <c r="B132" s="8">
        <v>45788</v>
      </c>
      <c r="C132" s="6">
        <v>2025</v>
      </c>
      <c r="D132" s="7" t="s">
        <v>165</v>
      </c>
      <c r="E132" s="6">
        <v>5</v>
      </c>
      <c r="F132" s="7" t="s">
        <v>167</v>
      </c>
      <c r="G132" s="6">
        <v>19</v>
      </c>
      <c r="H132" s="7" t="s">
        <v>160</v>
      </c>
      <c r="I132" s="6">
        <v>1</v>
      </c>
    </row>
    <row r="133" spans="1:9" x14ac:dyDescent="0.35">
      <c r="A133" s="6">
        <v>132</v>
      </c>
      <c r="B133" s="8">
        <v>45789</v>
      </c>
      <c r="C133" s="6">
        <v>2025</v>
      </c>
      <c r="D133" s="7" t="s">
        <v>165</v>
      </c>
      <c r="E133" s="6">
        <v>5</v>
      </c>
      <c r="F133" s="7" t="s">
        <v>167</v>
      </c>
      <c r="G133" s="6">
        <v>20</v>
      </c>
      <c r="H133" s="7" t="s">
        <v>161</v>
      </c>
      <c r="I133" s="6">
        <v>0</v>
      </c>
    </row>
    <row r="134" spans="1:9" x14ac:dyDescent="0.35">
      <c r="A134" s="6">
        <v>133</v>
      </c>
      <c r="B134" s="8">
        <v>45790</v>
      </c>
      <c r="C134" s="6">
        <v>2025</v>
      </c>
      <c r="D134" s="7" t="s">
        <v>165</v>
      </c>
      <c r="E134" s="6">
        <v>5</v>
      </c>
      <c r="F134" s="7" t="s">
        <v>167</v>
      </c>
      <c r="G134" s="6">
        <v>20</v>
      </c>
      <c r="H134" s="7" t="s">
        <v>162</v>
      </c>
      <c r="I134" s="6">
        <v>0</v>
      </c>
    </row>
    <row r="135" spans="1:9" x14ac:dyDescent="0.35">
      <c r="A135" s="6">
        <v>134</v>
      </c>
      <c r="B135" s="8">
        <v>45791</v>
      </c>
      <c r="C135" s="6">
        <v>2025</v>
      </c>
      <c r="D135" s="7" t="s">
        <v>165</v>
      </c>
      <c r="E135" s="6">
        <v>5</v>
      </c>
      <c r="F135" s="7" t="s">
        <v>167</v>
      </c>
      <c r="G135" s="6">
        <v>20</v>
      </c>
      <c r="H135" s="7" t="s">
        <v>156</v>
      </c>
      <c r="I135" s="6">
        <v>0</v>
      </c>
    </row>
    <row r="136" spans="1:9" x14ac:dyDescent="0.35">
      <c r="A136" s="6">
        <v>135</v>
      </c>
      <c r="B136" s="8">
        <v>45792</v>
      </c>
      <c r="C136" s="6">
        <v>2025</v>
      </c>
      <c r="D136" s="7" t="s">
        <v>165</v>
      </c>
      <c r="E136" s="6">
        <v>5</v>
      </c>
      <c r="F136" s="7" t="s">
        <v>167</v>
      </c>
      <c r="G136" s="6">
        <v>20</v>
      </c>
      <c r="H136" s="7" t="s">
        <v>157</v>
      </c>
      <c r="I136" s="6">
        <v>0</v>
      </c>
    </row>
    <row r="137" spans="1:9" x14ac:dyDescent="0.35">
      <c r="A137" s="6">
        <v>136</v>
      </c>
      <c r="B137" s="8">
        <v>45793</v>
      </c>
      <c r="C137" s="6">
        <v>2025</v>
      </c>
      <c r="D137" s="7" t="s">
        <v>165</v>
      </c>
      <c r="E137" s="6">
        <v>5</v>
      </c>
      <c r="F137" s="7" t="s">
        <v>167</v>
      </c>
      <c r="G137" s="6">
        <v>20</v>
      </c>
      <c r="H137" s="7" t="s">
        <v>158</v>
      </c>
      <c r="I137" s="6">
        <v>0</v>
      </c>
    </row>
    <row r="138" spans="1:9" x14ac:dyDescent="0.35">
      <c r="A138" s="6">
        <v>137</v>
      </c>
      <c r="B138" s="8">
        <v>45794</v>
      </c>
      <c r="C138" s="6">
        <v>2025</v>
      </c>
      <c r="D138" s="7" t="s">
        <v>165</v>
      </c>
      <c r="E138" s="6">
        <v>5</v>
      </c>
      <c r="F138" s="7" t="s">
        <v>167</v>
      </c>
      <c r="G138" s="6">
        <v>20</v>
      </c>
      <c r="H138" s="7" t="s">
        <v>159</v>
      </c>
      <c r="I138" s="6">
        <v>1</v>
      </c>
    </row>
    <row r="139" spans="1:9" x14ac:dyDescent="0.35">
      <c r="A139" s="6">
        <v>138</v>
      </c>
      <c r="B139" s="8">
        <v>45795</v>
      </c>
      <c r="C139" s="6">
        <v>2025</v>
      </c>
      <c r="D139" s="7" t="s">
        <v>165</v>
      </c>
      <c r="E139" s="6">
        <v>5</v>
      </c>
      <c r="F139" s="7" t="s">
        <v>167</v>
      </c>
      <c r="G139" s="6">
        <v>20</v>
      </c>
      <c r="H139" s="7" t="s">
        <v>160</v>
      </c>
      <c r="I139" s="6">
        <v>1</v>
      </c>
    </row>
    <row r="140" spans="1:9" x14ac:dyDescent="0.35">
      <c r="A140" s="6">
        <v>139</v>
      </c>
      <c r="B140" s="8">
        <v>45796</v>
      </c>
      <c r="C140" s="6">
        <v>2025</v>
      </c>
      <c r="D140" s="7" t="s">
        <v>165</v>
      </c>
      <c r="E140" s="6">
        <v>5</v>
      </c>
      <c r="F140" s="7" t="s">
        <v>167</v>
      </c>
      <c r="G140" s="6">
        <v>21</v>
      </c>
      <c r="H140" s="7" t="s">
        <v>161</v>
      </c>
      <c r="I140" s="6">
        <v>0</v>
      </c>
    </row>
    <row r="141" spans="1:9" x14ac:dyDescent="0.35">
      <c r="A141" s="6">
        <v>140</v>
      </c>
      <c r="B141" s="8">
        <v>45797</v>
      </c>
      <c r="C141" s="6">
        <v>2025</v>
      </c>
      <c r="D141" s="7" t="s">
        <v>165</v>
      </c>
      <c r="E141" s="6">
        <v>5</v>
      </c>
      <c r="F141" s="7" t="s">
        <v>167</v>
      </c>
      <c r="G141" s="6">
        <v>21</v>
      </c>
      <c r="H141" s="7" t="s">
        <v>162</v>
      </c>
      <c r="I141" s="6">
        <v>0</v>
      </c>
    </row>
    <row r="142" spans="1:9" x14ac:dyDescent="0.35">
      <c r="A142" s="6">
        <v>141</v>
      </c>
      <c r="B142" s="8">
        <v>45798</v>
      </c>
      <c r="C142" s="6">
        <v>2025</v>
      </c>
      <c r="D142" s="7" t="s">
        <v>165</v>
      </c>
      <c r="E142" s="6">
        <v>5</v>
      </c>
      <c r="F142" s="7" t="s">
        <v>167</v>
      </c>
      <c r="G142" s="6">
        <v>21</v>
      </c>
      <c r="H142" s="7" t="s">
        <v>156</v>
      </c>
      <c r="I142" s="6">
        <v>0</v>
      </c>
    </row>
    <row r="143" spans="1:9" x14ac:dyDescent="0.35">
      <c r="A143" s="6">
        <v>142</v>
      </c>
      <c r="B143" s="8">
        <v>45799</v>
      </c>
      <c r="C143" s="6">
        <v>2025</v>
      </c>
      <c r="D143" s="7" t="s">
        <v>165</v>
      </c>
      <c r="E143" s="6">
        <v>5</v>
      </c>
      <c r="F143" s="7" t="s">
        <v>167</v>
      </c>
      <c r="G143" s="6">
        <v>21</v>
      </c>
      <c r="H143" s="7" t="s">
        <v>157</v>
      </c>
      <c r="I143" s="6">
        <v>0</v>
      </c>
    </row>
    <row r="144" spans="1:9" x14ac:dyDescent="0.35">
      <c r="A144" s="6">
        <v>143</v>
      </c>
      <c r="B144" s="8">
        <v>45800</v>
      </c>
      <c r="C144" s="6">
        <v>2025</v>
      </c>
      <c r="D144" s="7" t="s">
        <v>165</v>
      </c>
      <c r="E144" s="6">
        <v>5</v>
      </c>
      <c r="F144" s="7" t="s">
        <v>167</v>
      </c>
      <c r="G144" s="6">
        <v>21</v>
      </c>
      <c r="H144" s="7" t="s">
        <v>158</v>
      </c>
      <c r="I144" s="6">
        <v>0</v>
      </c>
    </row>
    <row r="145" spans="1:9" x14ac:dyDescent="0.35">
      <c r="A145" s="6">
        <v>144</v>
      </c>
      <c r="B145" s="8">
        <v>45801</v>
      </c>
      <c r="C145" s="6">
        <v>2025</v>
      </c>
      <c r="D145" s="7" t="s">
        <v>165</v>
      </c>
      <c r="E145" s="6">
        <v>5</v>
      </c>
      <c r="F145" s="7" t="s">
        <v>167</v>
      </c>
      <c r="G145" s="6">
        <v>21</v>
      </c>
      <c r="H145" s="7" t="s">
        <v>159</v>
      </c>
      <c r="I145" s="6">
        <v>1</v>
      </c>
    </row>
    <row r="146" spans="1:9" x14ac:dyDescent="0.35">
      <c r="A146" s="6">
        <v>145</v>
      </c>
      <c r="B146" s="8">
        <v>45802</v>
      </c>
      <c r="C146" s="6">
        <v>2025</v>
      </c>
      <c r="D146" s="7" t="s">
        <v>165</v>
      </c>
      <c r="E146" s="6">
        <v>5</v>
      </c>
      <c r="F146" s="7" t="s">
        <v>167</v>
      </c>
      <c r="G146" s="6">
        <v>21</v>
      </c>
      <c r="H146" s="7" t="s">
        <v>160</v>
      </c>
      <c r="I146" s="6">
        <v>1</v>
      </c>
    </row>
    <row r="147" spans="1:9" x14ac:dyDescent="0.35">
      <c r="A147" s="6">
        <v>146</v>
      </c>
      <c r="B147" s="8">
        <v>45803</v>
      </c>
      <c r="C147" s="6">
        <v>2025</v>
      </c>
      <c r="D147" s="7" t="s">
        <v>165</v>
      </c>
      <c r="E147" s="6">
        <v>5</v>
      </c>
      <c r="F147" s="7" t="s">
        <v>167</v>
      </c>
      <c r="G147" s="6">
        <v>22</v>
      </c>
      <c r="H147" s="7" t="s">
        <v>161</v>
      </c>
      <c r="I147" s="6">
        <v>0</v>
      </c>
    </row>
    <row r="148" spans="1:9" x14ac:dyDescent="0.35">
      <c r="A148" s="6">
        <v>147</v>
      </c>
      <c r="B148" s="8">
        <v>45804</v>
      </c>
      <c r="C148" s="6">
        <v>2025</v>
      </c>
      <c r="D148" s="7" t="s">
        <v>165</v>
      </c>
      <c r="E148" s="6">
        <v>5</v>
      </c>
      <c r="F148" s="7" t="s">
        <v>167</v>
      </c>
      <c r="G148" s="6">
        <v>22</v>
      </c>
      <c r="H148" s="7" t="s">
        <v>162</v>
      </c>
      <c r="I148" s="6">
        <v>0</v>
      </c>
    </row>
    <row r="149" spans="1:9" x14ac:dyDescent="0.35">
      <c r="A149" s="6">
        <v>148</v>
      </c>
      <c r="B149" s="8">
        <v>45805</v>
      </c>
      <c r="C149" s="6">
        <v>2025</v>
      </c>
      <c r="D149" s="7" t="s">
        <v>165</v>
      </c>
      <c r="E149" s="6">
        <v>5</v>
      </c>
      <c r="F149" s="7" t="s">
        <v>167</v>
      </c>
      <c r="G149" s="6">
        <v>22</v>
      </c>
      <c r="H149" s="7" t="s">
        <v>156</v>
      </c>
      <c r="I149" s="6">
        <v>0</v>
      </c>
    </row>
    <row r="150" spans="1:9" x14ac:dyDescent="0.35">
      <c r="A150" s="6">
        <v>149</v>
      </c>
      <c r="B150" s="8">
        <v>45806</v>
      </c>
      <c r="C150" s="6">
        <v>2025</v>
      </c>
      <c r="D150" s="7" t="s">
        <v>165</v>
      </c>
      <c r="E150" s="6">
        <v>5</v>
      </c>
      <c r="F150" s="7" t="s">
        <v>167</v>
      </c>
      <c r="G150" s="6">
        <v>22</v>
      </c>
      <c r="H150" s="7" t="s">
        <v>157</v>
      </c>
      <c r="I150" s="6">
        <v>0</v>
      </c>
    </row>
    <row r="151" spans="1:9" x14ac:dyDescent="0.35">
      <c r="A151" s="6">
        <v>150</v>
      </c>
      <c r="B151" s="8">
        <v>45807</v>
      </c>
      <c r="C151" s="6">
        <v>2025</v>
      </c>
      <c r="D151" s="7" t="s">
        <v>165</v>
      </c>
      <c r="E151" s="6">
        <v>5</v>
      </c>
      <c r="F151" s="7" t="s">
        <v>167</v>
      </c>
      <c r="G151" s="6">
        <v>22</v>
      </c>
      <c r="H151" s="7" t="s">
        <v>158</v>
      </c>
      <c r="I151" s="6">
        <v>0</v>
      </c>
    </row>
    <row r="152" spans="1:9" x14ac:dyDescent="0.35">
      <c r="A152" s="6">
        <v>151</v>
      </c>
      <c r="B152" s="8">
        <v>45808</v>
      </c>
      <c r="C152" s="6">
        <v>2025</v>
      </c>
      <c r="D152" s="7" t="s">
        <v>165</v>
      </c>
      <c r="E152" s="6">
        <v>5</v>
      </c>
      <c r="F152" s="7" t="s">
        <v>167</v>
      </c>
      <c r="G152" s="6">
        <v>22</v>
      </c>
      <c r="H152" s="7" t="s">
        <v>159</v>
      </c>
      <c r="I152" s="6">
        <v>1</v>
      </c>
    </row>
    <row r="153" spans="1:9" x14ac:dyDescent="0.35">
      <c r="A153" s="6">
        <v>152</v>
      </c>
      <c r="B153" s="8">
        <v>45809</v>
      </c>
      <c r="C153" s="6">
        <v>2025</v>
      </c>
      <c r="D153" s="7" t="s">
        <v>165</v>
      </c>
      <c r="E153" s="6">
        <v>6</v>
      </c>
      <c r="F153" s="7" t="s">
        <v>168</v>
      </c>
      <c r="G153" s="6">
        <v>22</v>
      </c>
      <c r="H153" s="7" t="s">
        <v>160</v>
      </c>
      <c r="I153" s="6">
        <v>1</v>
      </c>
    </row>
    <row r="154" spans="1:9" x14ac:dyDescent="0.35">
      <c r="A154" s="6">
        <v>153</v>
      </c>
      <c r="B154" s="8">
        <v>45810</v>
      </c>
      <c r="C154" s="6">
        <v>2025</v>
      </c>
      <c r="D154" s="7" t="s">
        <v>165</v>
      </c>
      <c r="E154" s="6">
        <v>6</v>
      </c>
      <c r="F154" s="7" t="s">
        <v>168</v>
      </c>
      <c r="G154" s="6">
        <v>23</v>
      </c>
      <c r="H154" s="7" t="s">
        <v>161</v>
      </c>
      <c r="I154" s="6">
        <v>0</v>
      </c>
    </row>
    <row r="155" spans="1:9" x14ac:dyDescent="0.35">
      <c r="A155" s="6">
        <v>154</v>
      </c>
      <c r="B155" s="8">
        <v>45811</v>
      </c>
      <c r="C155" s="6">
        <v>2025</v>
      </c>
      <c r="D155" s="7" t="s">
        <v>165</v>
      </c>
      <c r="E155" s="6">
        <v>6</v>
      </c>
      <c r="F155" s="7" t="s">
        <v>168</v>
      </c>
      <c r="G155" s="6">
        <v>23</v>
      </c>
      <c r="H155" s="7" t="s">
        <v>162</v>
      </c>
      <c r="I155" s="6">
        <v>0</v>
      </c>
    </row>
    <row r="156" spans="1:9" x14ac:dyDescent="0.35">
      <c r="A156" s="6">
        <v>155</v>
      </c>
      <c r="B156" s="8">
        <v>45812</v>
      </c>
      <c r="C156" s="6">
        <v>2025</v>
      </c>
      <c r="D156" s="7" t="s">
        <v>165</v>
      </c>
      <c r="E156" s="6">
        <v>6</v>
      </c>
      <c r="F156" s="7" t="s">
        <v>168</v>
      </c>
      <c r="G156" s="6">
        <v>23</v>
      </c>
      <c r="H156" s="7" t="s">
        <v>156</v>
      </c>
      <c r="I156" s="6">
        <v>0</v>
      </c>
    </row>
    <row r="157" spans="1:9" x14ac:dyDescent="0.35">
      <c r="A157" s="6">
        <v>156</v>
      </c>
      <c r="B157" s="8">
        <v>45813</v>
      </c>
      <c r="C157" s="6">
        <v>2025</v>
      </c>
      <c r="D157" s="7" t="s">
        <v>165</v>
      </c>
      <c r="E157" s="6">
        <v>6</v>
      </c>
      <c r="F157" s="7" t="s">
        <v>168</v>
      </c>
      <c r="G157" s="6">
        <v>23</v>
      </c>
      <c r="H157" s="7" t="s">
        <v>157</v>
      </c>
      <c r="I157" s="6">
        <v>0</v>
      </c>
    </row>
    <row r="158" spans="1:9" x14ac:dyDescent="0.35">
      <c r="A158" s="6">
        <v>157</v>
      </c>
      <c r="B158" s="8">
        <v>45814</v>
      </c>
      <c r="C158" s="6">
        <v>2025</v>
      </c>
      <c r="D158" s="7" t="s">
        <v>165</v>
      </c>
      <c r="E158" s="6">
        <v>6</v>
      </c>
      <c r="F158" s="7" t="s">
        <v>168</v>
      </c>
      <c r="G158" s="6">
        <v>23</v>
      </c>
      <c r="H158" s="7" t="s">
        <v>158</v>
      </c>
      <c r="I158" s="6">
        <v>0</v>
      </c>
    </row>
    <row r="159" spans="1:9" x14ac:dyDescent="0.35">
      <c r="A159" s="6">
        <v>158</v>
      </c>
      <c r="B159" s="8">
        <v>45815</v>
      </c>
      <c r="C159" s="6">
        <v>2025</v>
      </c>
      <c r="D159" s="7" t="s">
        <v>165</v>
      </c>
      <c r="E159" s="6">
        <v>6</v>
      </c>
      <c r="F159" s="7" t="s">
        <v>168</v>
      </c>
      <c r="G159" s="6">
        <v>23</v>
      </c>
      <c r="H159" s="7" t="s">
        <v>159</v>
      </c>
      <c r="I159" s="6">
        <v>1</v>
      </c>
    </row>
    <row r="160" spans="1:9" x14ac:dyDescent="0.35">
      <c r="A160" s="6">
        <v>159</v>
      </c>
      <c r="B160" s="8">
        <v>45816</v>
      </c>
      <c r="C160" s="6">
        <v>2025</v>
      </c>
      <c r="D160" s="7" t="s">
        <v>165</v>
      </c>
      <c r="E160" s="6">
        <v>6</v>
      </c>
      <c r="F160" s="7" t="s">
        <v>168</v>
      </c>
      <c r="G160" s="6">
        <v>23</v>
      </c>
      <c r="H160" s="7" t="s">
        <v>160</v>
      </c>
      <c r="I160" s="6">
        <v>1</v>
      </c>
    </row>
    <row r="161" spans="1:9" x14ac:dyDescent="0.35">
      <c r="A161" s="6">
        <v>160</v>
      </c>
      <c r="B161" s="8">
        <v>45817</v>
      </c>
      <c r="C161" s="6">
        <v>2025</v>
      </c>
      <c r="D161" s="7" t="s">
        <v>165</v>
      </c>
      <c r="E161" s="6">
        <v>6</v>
      </c>
      <c r="F161" s="7" t="s">
        <v>168</v>
      </c>
      <c r="G161" s="6">
        <v>24</v>
      </c>
      <c r="H161" s="7" t="s">
        <v>161</v>
      </c>
      <c r="I161" s="6">
        <v>0</v>
      </c>
    </row>
    <row r="162" spans="1:9" x14ac:dyDescent="0.35">
      <c r="A162" s="6">
        <v>161</v>
      </c>
      <c r="B162" s="8">
        <v>45818</v>
      </c>
      <c r="C162" s="6">
        <v>2025</v>
      </c>
      <c r="D162" s="7" t="s">
        <v>165</v>
      </c>
      <c r="E162" s="6">
        <v>6</v>
      </c>
      <c r="F162" s="7" t="s">
        <v>168</v>
      </c>
      <c r="G162" s="6">
        <v>24</v>
      </c>
      <c r="H162" s="7" t="s">
        <v>162</v>
      </c>
      <c r="I162" s="6">
        <v>0</v>
      </c>
    </row>
    <row r="163" spans="1:9" x14ac:dyDescent="0.35">
      <c r="A163" s="6">
        <v>162</v>
      </c>
      <c r="B163" s="8">
        <v>45819</v>
      </c>
      <c r="C163" s="6">
        <v>2025</v>
      </c>
      <c r="D163" s="7" t="s">
        <v>165</v>
      </c>
      <c r="E163" s="6">
        <v>6</v>
      </c>
      <c r="F163" s="7" t="s">
        <v>168</v>
      </c>
      <c r="G163" s="6">
        <v>24</v>
      </c>
      <c r="H163" s="7" t="s">
        <v>156</v>
      </c>
      <c r="I163" s="6">
        <v>0</v>
      </c>
    </row>
    <row r="164" spans="1:9" x14ac:dyDescent="0.35">
      <c r="A164" s="6">
        <v>163</v>
      </c>
      <c r="B164" s="8">
        <v>45820</v>
      </c>
      <c r="C164" s="6">
        <v>2025</v>
      </c>
      <c r="D164" s="7" t="s">
        <v>165</v>
      </c>
      <c r="E164" s="6">
        <v>6</v>
      </c>
      <c r="F164" s="7" t="s">
        <v>168</v>
      </c>
      <c r="G164" s="6">
        <v>24</v>
      </c>
      <c r="H164" s="7" t="s">
        <v>157</v>
      </c>
      <c r="I164" s="6">
        <v>0</v>
      </c>
    </row>
    <row r="165" spans="1:9" x14ac:dyDescent="0.35">
      <c r="A165" s="6">
        <v>164</v>
      </c>
      <c r="B165" s="8">
        <v>45821</v>
      </c>
      <c r="C165" s="6">
        <v>2025</v>
      </c>
      <c r="D165" s="7" t="s">
        <v>165</v>
      </c>
      <c r="E165" s="6">
        <v>6</v>
      </c>
      <c r="F165" s="7" t="s">
        <v>168</v>
      </c>
      <c r="G165" s="6">
        <v>24</v>
      </c>
      <c r="H165" s="7" t="s">
        <v>158</v>
      </c>
      <c r="I165" s="6">
        <v>0</v>
      </c>
    </row>
    <row r="166" spans="1:9" x14ac:dyDescent="0.35">
      <c r="A166" s="6">
        <v>165</v>
      </c>
      <c r="B166" s="8">
        <v>45822</v>
      </c>
      <c r="C166" s="6">
        <v>2025</v>
      </c>
      <c r="D166" s="7" t="s">
        <v>165</v>
      </c>
      <c r="E166" s="6">
        <v>6</v>
      </c>
      <c r="F166" s="7" t="s">
        <v>168</v>
      </c>
      <c r="G166" s="6">
        <v>24</v>
      </c>
      <c r="H166" s="7" t="s">
        <v>159</v>
      </c>
      <c r="I166" s="6">
        <v>1</v>
      </c>
    </row>
    <row r="167" spans="1:9" x14ac:dyDescent="0.35">
      <c r="A167" s="6">
        <v>166</v>
      </c>
      <c r="B167" s="8">
        <v>45823</v>
      </c>
      <c r="C167" s="6">
        <v>2025</v>
      </c>
      <c r="D167" s="7" t="s">
        <v>165</v>
      </c>
      <c r="E167" s="6">
        <v>6</v>
      </c>
      <c r="F167" s="7" t="s">
        <v>168</v>
      </c>
      <c r="G167" s="6">
        <v>24</v>
      </c>
      <c r="H167" s="7" t="s">
        <v>160</v>
      </c>
      <c r="I167" s="6">
        <v>1</v>
      </c>
    </row>
    <row r="168" spans="1:9" x14ac:dyDescent="0.35">
      <c r="A168" s="6">
        <v>167</v>
      </c>
      <c r="B168" s="8">
        <v>45824</v>
      </c>
      <c r="C168" s="6">
        <v>2025</v>
      </c>
      <c r="D168" s="7" t="s">
        <v>165</v>
      </c>
      <c r="E168" s="6">
        <v>6</v>
      </c>
      <c r="F168" s="7" t="s">
        <v>168</v>
      </c>
      <c r="G168" s="6">
        <v>25</v>
      </c>
      <c r="H168" s="7" t="s">
        <v>161</v>
      </c>
      <c r="I168" s="6">
        <v>0</v>
      </c>
    </row>
    <row r="169" spans="1:9" x14ac:dyDescent="0.35">
      <c r="A169" s="6">
        <v>168</v>
      </c>
      <c r="B169" s="8">
        <v>45825</v>
      </c>
      <c r="C169" s="6">
        <v>2025</v>
      </c>
      <c r="D169" s="7" t="s">
        <v>165</v>
      </c>
      <c r="E169" s="6">
        <v>6</v>
      </c>
      <c r="F169" s="7" t="s">
        <v>168</v>
      </c>
      <c r="G169" s="6">
        <v>25</v>
      </c>
      <c r="H169" s="7" t="s">
        <v>162</v>
      </c>
      <c r="I169" s="6">
        <v>0</v>
      </c>
    </row>
    <row r="170" spans="1:9" x14ac:dyDescent="0.35">
      <c r="A170" s="6">
        <v>169</v>
      </c>
      <c r="B170" s="8">
        <v>45826</v>
      </c>
      <c r="C170" s="6">
        <v>2025</v>
      </c>
      <c r="D170" s="7" t="s">
        <v>165</v>
      </c>
      <c r="E170" s="6">
        <v>6</v>
      </c>
      <c r="F170" s="7" t="s">
        <v>168</v>
      </c>
      <c r="G170" s="6">
        <v>25</v>
      </c>
      <c r="H170" s="7" t="s">
        <v>156</v>
      </c>
      <c r="I170" s="6">
        <v>0</v>
      </c>
    </row>
    <row r="171" spans="1:9" x14ac:dyDescent="0.35">
      <c r="A171" s="6">
        <v>170</v>
      </c>
      <c r="B171" s="8">
        <v>45827</v>
      </c>
      <c r="C171" s="6">
        <v>2025</v>
      </c>
      <c r="D171" s="7" t="s">
        <v>165</v>
      </c>
      <c r="E171" s="6">
        <v>6</v>
      </c>
      <c r="F171" s="7" t="s">
        <v>168</v>
      </c>
      <c r="G171" s="6">
        <v>25</v>
      </c>
      <c r="H171" s="7" t="s">
        <v>157</v>
      </c>
      <c r="I171" s="6">
        <v>0</v>
      </c>
    </row>
    <row r="172" spans="1:9" x14ac:dyDescent="0.35">
      <c r="A172" s="6">
        <v>171</v>
      </c>
      <c r="B172" s="8">
        <v>45828</v>
      </c>
      <c r="C172" s="6">
        <v>2025</v>
      </c>
      <c r="D172" s="7" t="s">
        <v>165</v>
      </c>
      <c r="E172" s="6">
        <v>6</v>
      </c>
      <c r="F172" s="7" t="s">
        <v>168</v>
      </c>
      <c r="G172" s="6">
        <v>25</v>
      </c>
      <c r="H172" s="7" t="s">
        <v>158</v>
      </c>
      <c r="I172" s="6">
        <v>0</v>
      </c>
    </row>
    <row r="173" spans="1:9" x14ac:dyDescent="0.35">
      <c r="A173" s="6">
        <v>172</v>
      </c>
      <c r="B173" s="8">
        <v>45829</v>
      </c>
      <c r="C173" s="6">
        <v>2025</v>
      </c>
      <c r="D173" s="7" t="s">
        <v>165</v>
      </c>
      <c r="E173" s="6">
        <v>6</v>
      </c>
      <c r="F173" s="7" t="s">
        <v>168</v>
      </c>
      <c r="G173" s="6">
        <v>25</v>
      </c>
      <c r="H173" s="7" t="s">
        <v>159</v>
      </c>
      <c r="I173" s="6">
        <v>1</v>
      </c>
    </row>
    <row r="174" spans="1:9" x14ac:dyDescent="0.35">
      <c r="A174" s="6">
        <v>173</v>
      </c>
      <c r="B174" s="8">
        <v>45830</v>
      </c>
      <c r="C174" s="6">
        <v>2025</v>
      </c>
      <c r="D174" s="7" t="s">
        <v>165</v>
      </c>
      <c r="E174" s="6">
        <v>6</v>
      </c>
      <c r="F174" s="7" t="s">
        <v>168</v>
      </c>
      <c r="G174" s="6">
        <v>25</v>
      </c>
      <c r="H174" s="7" t="s">
        <v>160</v>
      </c>
      <c r="I174" s="6">
        <v>1</v>
      </c>
    </row>
    <row r="175" spans="1:9" x14ac:dyDescent="0.35">
      <c r="A175" s="6">
        <v>174</v>
      </c>
      <c r="B175" s="8">
        <v>45831</v>
      </c>
      <c r="C175" s="6">
        <v>2025</v>
      </c>
      <c r="D175" s="7" t="s">
        <v>165</v>
      </c>
      <c r="E175" s="6">
        <v>6</v>
      </c>
      <c r="F175" s="7" t="s">
        <v>168</v>
      </c>
      <c r="G175" s="6">
        <v>26</v>
      </c>
      <c r="H175" s="7" t="s">
        <v>161</v>
      </c>
      <c r="I175" s="6">
        <v>0</v>
      </c>
    </row>
    <row r="176" spans="1:9" x14ac:dyDescent="0.35">
      <c r="A176" s="6">
        <v>175</v>
      </c>
      <c r="B176" s="8">
        <v>45832</v>
      </c>
      <c r="C176" s="6">
        <v>2025</v>
      </c>
      <c r="D176" s="7" t="s">
        <v>165</v>
      </c>
      <c r="E176" s="6">
        <v>6</v>
      </c>
      <c r="F176" s="7" t="s">
        <v>168</v>
      </c>
      <c r="G176" s="6">
        <v>26</v>
      </c>
      <c r="H176" s="7" t="s">
        <v>162</v>
      </c>
      <c r="I176" s="6">
        <v>0</v>
      </c>
    </row>
    <row r="177" spans="1:9" x14ac:dyDescent="0.35">
      <c r="A177" s="6">
        <v>176</v>
      </c>
      <c r="B177" s="8">
        <v>45833</v>
      </c>
      <c r="C177" s="6">
        <v>2025</v>
      </c>
      <c r="D177" s="7" t="s">
        <v>165</v>
      </c>
      <c r="E177" s="6">
        <v>6</v>
      </c>
      <c r="F177" s="7" t="s">
        <v>168</v>
      </c>
      <c r="G177" s="6">
        <v>26</v>
      </c>
      <c r="H177" s="7" t="s">
        <v>156</v>
      </c>
      <c r="I177" s="6">
        <v>0</v>
      </c>
    </row>
    <row r="178" spans="1:9" x14ac:dyDescent="0.35">
      <c r="A178" s="6">
        <v>177</v>
      </c>
      <c r="B178" s="8">
        <v>45834</v>
      </c>
      <c r="C178" s="6">
        <v>2025</v>
      </c>
      <c r="D178" s="7" t="s">
        <v>165</v>
      </c>
      <c r="E178" s="6">
        <v>6</v>
      </c>
      <c r="F178" s="7" t="s">
        <v>168</v>
      </c>
      <c r="G178" s="6">
        <v>26</v>
      </c>
      <c r="H178" s="7" t="s">
        <v>157</v>
      </c>
      <c r="I178" s="6">
        <v>0</v>
      </c>
    </row>
    <row r="179" spans="1:9" x14ac:dyDescent="0.35">
      <c r="A179" s="6">
        <v>178</v>
      </c>
      <c r="B179" s="8">
        <v>45835</v>
      </c>
      <c r="C179" s="6">
        <v>2025</v>
      </c>
      <c r="D179" s="7" t="s">
        <v>165</v>
      </c>
      <c r="E179" s="6">
        <v>6</v>
      </c>
      <c r="F179" s="7" t="s">
        <v>168</v>
      </c>
      <c r="G179" s="6">
        <v>26</v>
      </c>
      <c r="H179" s="7" t="s">
        <v>158</v>
      </c>
      <c r="I179" s="6">
        <v>0</v>
      </c>
    </row>
    <row r="180" spans="1:9" x14ac:dyDescent="0.35">
      <c r="A180" s="6">
        <v>179</v>
      </c>
      <c r="B180" s="8">
        <v>45836</v>
      </c>
      <c r="C180" s="6">
        <v>2025</v>
      </c>
      <c r="D180" s="7" t="s">
        <v>165</v>
      </c>
      <c r="E180" s="6">
        <v>6</v>
      </c>
      <c r="F180" s="7" t="s">
        <v>168</v>
      </c>
      <c r="G180" s="6">
        <v>26</v>
      </c>
      <c r="H180" s="7" t="s">
        <v>159</v>
      </c>
      <c r="I180" s="6">
        <v>1</v>
      </c>
    </row>
    <row r="181" spans="1:9" x14ac:dyDescent="0.35">
      <c r="A181" s="6">
        <v>180</v>
      </c>
      <c r="B181" s="8">
        <v>45837</v>
      </c>
      <c r="C181" s="6">
        <v>2025</v>
      </c>
      <c r="D181" s="7" t="s">
        <v>165</v>
      </c>
      <c r="E181" s="6">
        <v>6</v>
      </c>
      <c r="F181" s="7" t="s">
        <v>168</v>
      </c>
      <c r="G181" s="6">
        <v>26</v>
      </c>
      <c r="H181" s="7" t="s">
        <v>160</v>
      </c>
      <c r="I181" s="6">
        <v>1</v>
      </c>
    </row>
    <row r="182" spans="1:9" x14ac:dyDescent="0.35">
      <c r="A182" s="6">
        <v>181</v>
      </c>
      <c r="B182" s="8">
        <v>45838</v>
      </c>
      <c r="C182" s="6">
        <v>2025</v>
      </c>
      <c r="D182" s="7" t="s">
        <v>165</v>
      </c>
      <c r="E182" s="6">
        <v>6</v>
      </c>
      <c r="F182" s="7" t="s">
        <v>168</v>
      </c>
      <c r="G182" s="6">
        <v>27</v>
      </c>
      <c r="H182" s="7" t="s">
        <v>161</v>
      </c>
      <c r="I182" s="6">
        <v>0</v>
      </c>
    </row>
    <row r="183" spans="1:9" x14ac:dyDescent="0.35">
      <c r="A183" s="6">
        <v>182</v>
      </c>
      <c r="B183" s="8">
        <v>45839</v>
      </c>
      <c r="C183" s="6">
        <v>2025</v>
      </c>
      <c r="D183" s="7" t="s">
        <v>169</v>
      </c>
      <c r="E183" s="6">
        <v>7</v>
      </c>
      <c r="F183" s="7" t="s">
        <v>170</v>
      </c>
      <c r="G183" s="6">
        <v>27</v>
      </c>
      <c r="H183" s="7" t="s">
        <v>162</v>
      </c>
      <c r="I183" s="6">
        <v>0</v>
      </c>
    </row>
    <row r="184" spans="1:9" x14ac:dyDescent="0.35">
      <c r="A184" s="6">
        <v>183</v>
      </c>
      <c r="B184" s="8">
        <v>45840</v>
      </c>
      <c r="C184" s="6">
        <v>2025</v>
      </c>
      <c r="D184" s="7" t="s">
        <v>169</v>
      </c>
      <c r="E184" s="6">
        <v>7</v>
      </c>
      <c r="F184" s="7" t="s">
        <v>170</v>
      </c>
      <c r="G184" s="6">
        <v>27</v>
      </c>
      <c r="H184" s="7" t="s">
        <v>156</v>
      </c>
      <c r="I184" s="6">
        <v>0</v>
      </c>
    </row>
    <row r="185" spans="1:9" x14ac:dyDescent="0.35">
      <c r="A185" s="6">
        <v>184</v>
      </c>
      <c r="B185" s="8">
        <v>45841</v>
      </c>
      <c r="C185" s="6">
        <v>2025</v>
      </c>
      <c r="D185" s="7" t="s">
        <v>169</v>
      </c>
      <c r="E185" s="6">
        <v>7</v>
      </c>
      <c r="F185" s="7" t="s">
        <v>170</v>
      </c>
      <c r="G185" s="6">
        <v>27</v>
      </c>
      <c r="H185" s="7" t="s">
        <v>157</v>
      </c>
      <c r="I185" s="6">
        <v>0</v>
      </c>
    </row>
    <row r="186" spans="1:9" x14ac:dyDescent="0.35">
      <c r="A186" s="6">
        <v>185</v>
      </c>
      <c r="B186" s="8">
        <v>45842</v>
      </c>
      <c r="C186" s="6">
        <v>2025</v>
      </c>
      <c r="D186" s="7" t="s">
        <v>169</v>
      </c>
      <c r="E186" s="6">
        <v>7</v>
      </c>
      <c r="F186" s="7" t="s">
        <v>170</v>
      </c>
      <c r="G186" s="6">
        <v>27</v>
      </c>
      <c r="H186" s="7" t="s">
        <v>158</v>
      </c>
      <c r="I186" s="6">
        <v>0</v>
      </c>
    </row>
    <row r="187" spans="1:9" x14ac:dyDescent="0.35">
      <c r="A187" s="6">
        <v>186</v>
      </c>
      <c r="B187" s="8">
        <v>45843</v>
      </c>
      <c r="C187" s="6">
        <v>2025</v>
      </c>
      <c r="D187" s="7" t="s">
        <v>169</v>
      </c>
      <c r="E187" s="6">
        <v>7</v>
      </c>
      <c r="F187" s="7" t="s">
        <v>170</v>
      </c>
      <c r="G187" s="6">
        <v>27</v>
      </c>
      <c r="H187" s="7" t="s">
        <v>159</v>
      </c>
      <c r="I187" s="6">
        <v>1</v>
      </c>
    </row>
    <row r="188" spans="1:9" x14ac:dyDescent="0.35">
      <c r="A188" s="6">
        <v>187</v>
      </c>
      <c r="B188" s="8">
        <v>45844</v>
      </c>
      <c r="C188" s="6">
        <v>2025</v>
      </c>
      <c r="D188" s="7" t="s">
        <v>169</v>
      </c>
      <c r="E188" s="6">
        <v>7</v>
      </c>
      <c r="F188" s="7" t="s">
        <v>170</v>
      </c>
      <c r="G188" s="6">
        <v>27</v>
      </c>
      <c r="H188" s="7" t="s">
        <v>160</v>
      </c>
      <c r="I188" s="6">
        <v>1</v>
      </c>
    </row>
    <row r="189" spans="1:9" x14ac:dyDescent="0.35">
      <c r="A189" s="6">
        <v>188</v>
      </c>
      <c r="B189" s="8">
        <v>45845</v>
      </c>
      <c r="C189" s="6">
        <v>2025</v>
      </c>
      <c r="D189" s="7" t="s">
        <v>169</v>
      </c>
      <c r="E189" s="6">
        <v>7</v>
      </c>
      <c r="F189" s="7" t="s">
        <v>170</v>
      </c>
      <c r="G189" s="6">
        <v>28</v>
      </c>
      <c r="H189" s="7" t="s">
        <v>161</v>
      </c>
      <c r="I189" s="6">
        <v>0</v>
      </c>
    </row>
    <row r="190" spans="1:9" x14ac:dyDescent="0.35">
      <c r="A190" s="6">
        <v>189</v>
      </c>
      <c r="B190" s="8">
        <v>45846</v>
      </c>
      <c r="C190" s="6">
        <v>2025</v>
      </c>
      <c r="D190" s="7" t="s">
        <v>169</v>
      </c>
      <c r="E190" s="6">
        <v>7</v>
      </c>
      <c r="F190" s="7" t="s">
        <v>170</v>
      </c>
      <c r="G190" s="6">
        <v>28</v>
      </c>
      <c r="H190" s="7" t="s">
        <v>162</v>
      </c>
      <c r="I190" s="6">
        <v>0</v>
      </c>
    </row>
    <row r="191" spans="1:9" x14ac:dyDescent="0.35">
      <c r="A191" s="6">
        <v>190</v>
      </c>
      <c r="B191" s="8">
        <v>45847</v>
      </c>
      <c r="C191" s="6">
        <v>2025</v>
      </c>
      <c r="D191" s="7" t="s">
        <v>169</v>
      </c>
      <c r="E191" s="6">
        <v>7</v>
      </c>
      <c r="F191" s="7" t="s">
        <v>170</v>
      </c>
      <c r="G191" s="6">
        <v>28</v>
      </c>
      <c r="H191" s="7" t="s">
        <v>156</v>
      </c>
      <c r="I191" s="6">
        <v>0</v>
      </c>
    </row>
    <row r="192" spans="1:9" x14ac:dyDescent="0.35">
      <c r="A192" s="6">
        <v>191</v>
      </c>
      <c r="B192" s="8">
        <v>45848</v>
      </c>
      <c r="C192" s="6">
        <v>2025</v>
      </c>
      <c r="D192" s="7" t="s">
        <v>169</v>
      </c>
      <c r="E192" s="6">
        <v>7</v>
      </c>
      <c r="F192" s="7" t="s">
        <v>170</v>
      </c>
      <c r="G192" s="6">
        <v>28</v>
      </c>
      <c r="H192" s="7" t="s">
        <v>157</v>
      </c>
      <c r="I192" s="6">
        <v>0</v>
      </c>
    </row>
    <row r="193" spans="1:9" x14ac:dyDescent="0.35">
      <c r="A193" s="6">
        <v>192</v>
      </c>
      <c r="B193" s="8">
        <v>45849</v>
      </c>
      <c r="C193" s="6">
        <v>2025</v>
      </c>
      <c r="D193" s="7" t="s">
        <v>169</v>
      </c>
      <c r="E193" s="6">
        <v>7</v>
      </c>
      <c r="F193" s="7" t="s">
        <v>170</v>
      </c>
      <c r="G193" s="6">
        <v>28</v>
      </c>
      <c r="H193" s="7" t="s">
        <v>158</v>
      </c>
      <c r="I193" s="6">
        <v>0</v>
      </c>
    </row>
    <row r="194" spans="1:9" x14ac:dyDescent="0.35">
      <c r="A194" s="6">
        <v>193</v>
      </c>
      <c r="B194" s="8">
        <v>45850</v>
      </c>
      <c r="C194" s="6">
        <v>2025</v>
      </c>
      <c r="D194" s="7" t="s">
        <v>169</v>
      </c>
      <c r="E194" s="6">
        <v>7</v>
      </c>
      <c r="F194" s="7" t="s">
        <v>170</v>
      </c>
      <c r="G194" s="6">
        <v>28</v>
      </c>
      <c r="H194" s="7" t="s">
        <v>159</v>
      </c>
      <c r="I194" s="6">
        <v>1</v>
      </c>
    </row>
    <row r="195" spans="1:9" x14ac:dyDescent="0.35">
      <c r="A195" s="6">
        <v>194</v>
      </c>
      <c r="B195" s="8">
        <v>45851</v>
      </c>
      <c r="C195" s="6">
        <v>2025</v>
      </c>
      <c r="D195" s="7" t="s">
        <v>169</v>
      </c>
      <c r="E195" s="6">
        <v>7</v>
      </c>
      <c r="F195" s="7" t="s">
        <v>170</v>
      </c>
      <c r="G195" s="6">
        <v>28</v>
      </c>
      <c r="H195" s="7" t="s">
        <v>160</v>
      </c>
      <c r="I195" s="6">
        <v>1</v>
      </c>
    </row>
    <row r="196" spans="1:9" x14ac:dyDescent="0.35">
      <c r="A196" s="6">
        <v>195</v>
      </c>
      <c r="B196" s="8">
        <v>45852</v>
      </c>
      <c r="C196" s="6">
        <v>2025</v>
      </c>
      <c r="D196" s="7" t="s">
        <v>169</v>
      </c>
      <c r="E196" s="6">
        <v>7</v>
      </c>
      <c r="F196" s="7" t="s">
        <v>170</v>
      </c>
      <c r="G196" s="6">
        <v>29</v>
      </c>
      <c r="H196" s="7" t="s">
        <v>161</v>
      </c>
      <c r="I196" s="6">
        <v>0</v>
      </c>
    </row>
    <row r="197" spans="1:9" x14ac:dyDescent="0.35">
      <c r="A197" s="6">
        <v>196</v>
      </c>
      <c r="B197" s="8">
        <v>45853</v>
      </c>
      <c r="C197" s="6">
        <v>2025</v>
      </c>
      <c r="D197" s="7" t="s">
        <v>169</v>
      </c>
      <c r="E197" s="6">
        <v>7</v>
      </c>
      <c r="F197" s="7" t="s">
        <v>170</v>
      </c>
      <c r="G197" s="6">
        <v>29</v>
      </c>
      <c r="H197" s="7" t="s">
        <v>162</v>
      </c>
      <c r="I197" s="6">
        <v>0</v>
      </c>
    </row>
    <row r="198" spans="1:9" x14ac:dyDescent="0.35">
      <c r="A198" s="6">
        <v>197</v>
      </c>
      <c r="B198" s="8">
        <v>45854</v>
      </c>
      <c r="C198" s="6">
        <v>2025</v>
      </c>
      <c r="D198" s="7" t="s">
        <v>169</v>
      </c>
      <c r="E198" s="6">
        <v>7</v>
      </c>
      <c r="F198" s="7" t="s">
        <v>170</v>
      </c>
      <c r="G198" s="6">
        <v>29</v>
      </c>
      <c r="H198" s="7" t="s">
        <v>156</v>
      </c>
      <c r="I198" s="6">
        <v>0</v>
      </c>
    </row>
    <row r="199" spans="1:9" x14ac:dyDescent="0.35">
      <c r="A199" s="6">
        <v>198</v>
      </c>
      <c r="B199" s="8">
        <v>45855</v>
      </c>
      <c r="C199" s="6">
        <v>2025</v>
      </c>
      <c r="D199" s="7" t="s">
        <v>169</v>
      </c>
      <c r="E199" s="6">
        <v>7</v>
      </c>
      <c r="F199" s="7" t="s">
        <v>170</v>
      </c>
      <c r="G199" s="6">
        <v>29</v>
      </c>
      <c r="H199" s="7" t="s">
        <v>157</v>
      </c>
      <c r="I199" s="6">
        <v>0</v>
      </c>
    </row>
    <row r="200" spans="1:9" x14ac:dyDescent="0.35">
      <c r="A200" s="6">
        <v>199</v>
      </c>
      <c r="B200" s="8">
        <v>45856</v>
      </c>
      <c r="C200" s="6">
        <v>2025</v>
      </c>
      <c r="D200" s="7" t="s">
        <v>169</v>
      </c>
      <c r="E200" s="6">
        <v>7</v>
      </c>
      <c r="F200" s="7" t="s">
        <v>170</v>
      </c>
      <c r="G200" s="6">
        <v>29</v>
      </c>
      <c r="H200" s="7" t="s">
        <v>158</v>
      </c>
      <c r="I200" s="6">
        <v>0</v>
      </c>
    </row>
    <row r="201" spans="1:9" x14ac:dyDescent="0.35">
      <c r="A201" s="6">
        <v>200</v>
      </c>
      <c r="B201" s="8">
        <v>45857</v>
      </c>
      <c r="C201" s="6">
        <v>2025</v>
      </c>
      <c r="D201" s="7" t="s">
        <v>169</v>
      </c>
      <c r="E201" s="6">
        <v>7</v>
      </c>
      <c r="F201" s="7" t="s">
        <v>170</v>
      </c>
      <c r="G201" s="6">
        <v>29</v>
      </c>
      <c r="H201" s="7" t="s">
        <v>159</v>
      </c>
      <c r="I201" s="6">
        <v>1</v>
      </c>
    </row>
    <row r="202" spans="1:9" x14ac:dyDescent="0.35">
      <c r="A202" s="6">
        <v>201</v>
      </c>
      <c r="B202" s="8">
        <v>45858</v>
      </c>
      <c r="C202" s="6">
        <v>2025</v>
      </c>
      <c r="D202" s="7" t="s">
        <v>169</v>
      </c>
      <c r="E202" s="6">
        <v>7</v>
      </c>
      <c r="F202" s="7" t="s">
        <v>170</v>
      </c>
      <c r="G202" s="6">
        <v>29</v>
      </c>
      <c r="H202" s="7" t="s">
        <v>160</v>
      </c>
      <c r="I202" s="6">
        <v>1</v>
      </c>
    </row>
    <row r="203" spans="1:9" x14ac:dyDescent="0.35">
      <c r="A203" s="6">
        <v>202</v>
      </c>
      <c r="B203" s="8">
        <v>45859</v>
      </c>
      <c r="C203" s="6">
        <v>2025</v>
      </c>
      <c r="D203" s="7" t="s">
        <v>169</v>
      </c>
      <c r="E203" s="6">
        <v>7</v>
      </c>
      <c r="F203" s="7" t="s">
        <v>170</v>
      </c>
      <c r="G203" s="6">
        <v>30</v>
      </c>
      <c r="H203" s="7" t="s">
        <v>161</v>
      </c>
      <c r="I203" s="6">
        <v>0</v>
      </c>
    </row>
    <row r="204" spans="1:9" x14ac:dyDescent="0.35">
      <c r="A204" s="6">
        <v>203</v>
      </c>
      <c r="B204" s="8">
        <v>45860</v>
      </c>
      <c r="C204" s="6">
        <v>2025</v>
      </c>
      <c r="D204" s="7" t="s">
        <v>169</v>
      </c>
      <c r="E204" s="6">
        <v>7</v>
      </c>
      <c r="F204" s="7" t="s">
        <v>170</v>
      </c>
      <c r="G204" s="6">
        <v>30</v>
      </c>
      <c r="H204" s="7" t="s">
        <v>162</v>
      </c>
      <c r="I204" s="6">
        <v>0</v>
      </c>
    </row>
    <row r="205" spans="1:9" x14ac:dyDescent="0.35">
      <c r="A205" s="6">
        <v>204</v>
      </c>
      <c r="B205" s="8">
        <v>45861</v>
      </c>
      <c r="C205" s="6">
        <v>2025</v>
      </c>
      <c r="D205" s="7" t="s">
        <v>169</v>
      </c>
      <c r="E205" s="6">
        <v>7</v>
      </c>
      <c r="F205" s="7" t="s">
        <v>170</v>
      </c>
      <c r="G205" s="6">
        <v>30</v>
      </c>
      <c r="H205" s="7" t="s">
        <v>156</v>
      </c>
      <c r="I205" s="6">
        <v>0</v>
      </c>
    </row>
    <row r="206" spans="1:9" x14ac:dyDescent="0.35">
      <c r="A206" s="6">
        <v>205</v>
      </c>
      <c r="B206" s="8">
        <v>45862</v>
      </c>
      <c r="C206" s="6">
        <v>2025</v>
      </c>
      <c r="D206" s="7" t="s">
        <v>169</v>
      </c>
      <c r="E206" s="6">
        <v>7</v>
      </c>
      <c r="F206" s="7" t="s">
        <v>170</v>
      </c>
      <c r="G206" s="6">
        <v>30</v>
      </c>
      <c r="H206" s="7" t="s">
        <v>157</v>
      </c>
      <c r="I206" s="6">
        <v>0</v>
      </c>
    </row>
    <row r="207" spans="1:9" x14ac:dyDescent="0.35">
      <c r="A207" s="6">
        <v>206</v>
      </c>
      <c r="B207" s="8">
        <v>45863</v>
      </c>
      <c r="C207" s="6">
        <v>2025</v>
      </c>
      <c r="D207" s="7" t="s">
        <v>169</v>
      </c>
      <c r="E207" s="6">
        <v>7</v>
      </c>
      <c r="F207" s="7" t="s">
        <v>170</v>
      </c>
      <c r="G207" s="6">
        <v>30</v>
      </c>
      <c r="H207" s="7" t="s">
        <v>158</v>
      </c>
      <c r="I207" s="6">
        <v>0</v>
      </c>
    </row>
    <row r="208" spans="1:9" x14ac:dyDescent="0.35">
      <c r="A208" s="6">
        <v>207</v>
      </c>
      <c r="B208" s="8">
        <v>45864</v>
      </c>
      <c r="C208" s="6">
        <v>2025</v>
      </c>
      <c r="D208" s="7" t="s">
        <v>169</v>
      </c>
      <c r="E208" s="6">
        <v>7</v>
      </c>
      <c r="F208" s="7" t="s">
        <v>170</v>
      </c>
      <c r="G208" s="6">
        <v>30</v>
      </c>
      <c r="H208" s="7" t="s">
        <v>159</v>
      </c>
      <c r="I208" s="6">
        <v>1</v>
      </c>
    </row>
    <row r="209" spans="1:9" x14ac:dyDescent="0.35">
      <c r="A209" s="6">
        <v>208</v>
      </c>
      <c r="B209" s="8">
        <v>45865</v>
      </c>
      <c r="C209" s="6">
        <v>2025</v>
      </c>
      <c r="D209" s="7" t="s">
        <v>169</v>
      </c>
      <c r="E209" s="6">
        <v>7</v>
      </c>
      <c r="F209" s="7" t="s">
        <v>170</v>
      </c>
      <c r="G209" s="6">
        <v>30</v>
      </c>
      <c r="H209" s="7" t="s">
        <v>160</v>
      </c>
      <c r="I209" s="6">
        <v>1</v>
      </c>
    </row>
    <row r="210" spans="1:9" x14ac:dyDescent="0.35">
      <c r="A210" s="6">
        <v>209</v>
      </c>
      <c r="B210" s="8">
        <v>45866</v>
      </c>
      <c r="C210" s="6">
        <v>2025</v>
      </c>
      <c r="D210" s="7" t="s">
        <v>169</v>
      </c>
      <c r="E210" s="6">
        <v>7</v>
      </c>
      <c r="F210" s="7" t="s">
        <v>170</v>
      </c>
      <c r="G210" s="6">
        <v>31</v>
      </c>
      <c r="H210" s="7" t="s">
        <v>161</v>
      </c>
      <c r="I210" s="6">
        <v>0</v>
      </c>
    </row>
    <row r="211" spans="1:9" x14ac:dyDescent="0.35">
      <c r="A211" s="6">
        <v>210</v>
      </c>
      <c r="B211" s="8">
        <v>45867</v>
      </c>
      <c r="C211" s="6">
        <v>2025</v>
      </c>
      <c r="D211" s="7" t="s">
        <v>169</v>
      </c>
      <c r="E211" s="6">
        <v>7</v>
      </c>
      <c r="F211" s="7" t="s">
        <v>170</v>
      </c>
      <c r="G211" s="6">
        <v>31</v>
      </c>
      <c r="H211" s="7" t="s">
        <v>162</v>
      </c>
      <c r="I211" s="6">
        <v>0</v>
      </c>
    </row>
    <row r="212" spans="1:9" x14ac:dyDescent="0.35">
      <c r="A212" s="6">
        <v>211</v>
      </c>
      <c r="B212" s="8">
        <v>45868</v>
      </c>
      <c r="C212" s="6">
        <v>2025</v>
      </c>
      <c r="D212" s="7" t="s">
        <v>169</v>
      </c>
      <c r="E212" s="6">
        <v>7</v>
      </c>
      <c r="F212" s="7" t="s">
        <v>170</v>
      </c>
      <c r="G212" s="6">
        <v>31</v>
      </c>
      <c r="H212" s="7" t="s">
        <v>156</v>
      </c>
      <c r="I212" s="6">
        <v>0</v>
      </c>
    </row>
    <row r="213" spans="1:9" x14ac:dyDescent="0.35">
      <c r="A213" s="6">
        <v>212</v>
      </c>
      <c r="B213" s="8">
        <v>45869</v>
      </c>
      <c r="C213" s="6">
        <v>2025</v>
      </c>
      <c r="D213" s="7" t="s">
        <v>169</v>
      </c>
      <c r="E213" s="6">
        <v>7</v>
      </c>
      <c r="F213" s="7" t="s">
        <v>170</v>
      </c>
      <c r="G213" s="6">
        <v>31</v>
      </c>
      <c r="H213" s="7" t="s">
        <v>157</v>
      </c>
      <c r="I213" s="6">
        <v>0</v>
      </c>
    </row>
    <row r="214" spans="1:9" x14ac:dyDescent="0.35">
      <c r="A214" s="6">
        <v>213</v>
      </c>
      <c r="B214" s="8">
        <v>45870</v>
      </c>
      <c r="C214" s="6">
        <v>2025</v>
      </c>
      <c r="D214" s="7" t="s">
        <v>169</v>
      </c>
      <c r="E214" s="6">
        <v>8</v>
      </c>
      <c r="F214" s="7" t="s">
        <v>171</v>
      </c>
      <c r="G214" s="6">
        <v>31</v>
      </c>
      <c r="H214" s="7" t="s">
        <v>158</v>
      </c>
      <c r="I214" s="6">
        <v>0</v>
      </c>
    </row>
    <row r="215" spans="1:9" x14ac:dyDescent="0.35">
      <c r="A215" s="6">
        <v>214</v>
      </c>
      <c r="B215" s="8">
        <v>45871</v>
      </c>
      <c r="C215" s="6">
        <v>2025</v>
      </c>
      <c r="D215" s="7" t="s">
        <v>169</v>
      </c>
      <c r="E215" s="6">
        <v>8</v>
      </c>
      <c r="F215" s="7" t="s">
        <v>171</v>
      </c>
      <c r="G215" s="6">
        <v>31</v>
      </c>
      <c r="H215" s="7" t="s">
        <v>159</v>
      </c>
      <c r="I215" s="6">
        <v>1</v>
      </c>
    </row>
    <row r="216" spans="1:9" x14ac:dyDescent="0.35">
      <c r="A216" s="6">
        <v>215</v>
      </c>
      <c r="B216" s="8">
        <v>45872</v>
      </c>
      <c r="C216" s="6">
        <v>2025</v>
      </c>
      <c r="D216" s="7" t="s">
        <v>169</v>
      </c>
      <c r="E216" s="6">
        <v>8</v>
      </c>
      <c r="F216" s="7" t="s">
        <v>171</v>
      </c>
      <c r="G216" s="6">
        <v>31</v>
      </c>
      <c r="H216" s="7" t="s">
        <v>160</v>
      </c>
      <c r="I216" s="6">
        <v>1</v>
      </c>
    </row>
    <row r="217" spans="1:9" x14ac:dyDescent="0.35">
      <c r="A217" s="6">
        <v>216</v>
      </c>
      <c r="B217" s="8">
        <v>45873</v>
      </c>
      <c r="C217" s="6">
        <v>2025</v>
      </c>
      <c r="D217" s="7" t="s">
        <v>169</v>
      </c>
      <c r="E217" s="6">
        <v>8</v>
      </c>
      <c r="F217" s="7" t="s">
        <v>171</v>
      </c>
      <c r="G217" s="6">
        <v>32</v>
      </c>
      <c r="H217" s="7" t="s">
        <v>161</v>
      </c>
      <c r="I217" s="6">
        <v>0</v>
      </c>
    </row>
    <row r="218" spans="1:9" x14ac:dyDescent="0.35">
      <c r="A218" s="6">
        <v>217</v>
      </c>
      <c r="B218" s="8">
        <v>45874</v>
      </c>
      <c r="C218" s="6">
        <v>2025</v>
      </c>
      <c r="D218" s="7" t="s">
        <v>169</v>
      </c>
      <c r="E218" s="6">
        <v>8</v>
      </c>
      <c r="F218" s="7" t="s">
        <v>171</v>
      </c>
      <c r="G218" s="6">
        <v>32</v>
      </c>
      <c r="H218" s="7" t="s">
        <v>162</v>
      </c>
      <c r="I218" s="6">
        <v>0</v>
      </c>
    </row>
    <row r="219" spans="1:9" x14ac:dyDescent="0.35">
      <c r="A219" s="6">
        <v>218</v>
      </c>
      <c r="B219" s="8">
        <v>45875</v>
      </c>
      <c r="C219" s="6">
        <v>2025</v>
      </c>
      <c r="D219" s="7" t="s">
        <v>169</v>
      </c>
      <c r="E219" s="6">
        <v>8</v>
      </c>
      <c r="F219" s="7" t="s">
        <v>171</v>
      </c>
      <c r="G219" s="6">
        <v>32</v>
      </c>
      <c r="H219" s="7" t="s">
        <v>156</v>
      </c>
      <c r="I219" s="6">
        <v>0</v>
      </c>
    </row>
    <row r="220" spans="1:9" x14ac:dyDescent="0.35">
      <c r="A220" s="6">
        <v>219</v>
      </c>
      <c r="B220" s="8">
        <v>45876</v>
      </c>
      <c r="C220" s="6">
        <v>2025</v>
      </c>
      <c r="D220" s="7" t="s">
        <v>169</v>
      </c>
      <c r="E220" s="6">
        <v>8</v>
      </c>
      <c r="F220" s="7" t="s">
        <v>171</v>
      </c>
      <c r="G220" s="6">
        <v>32</v>
      </c>
      <c r="H220" s="7" t="s">
        <v>157</v>
      </c>
      <c r="I220" s="6">
        <v>0</v>
      </c>
    </row>
    <row r="221" spans="1:9" x14ac:dyDescent="0.35">
      <c r="A221" s="6">
        <v>220</v>
      </c>
      <c r="B221" s="8">
        <v>45877</v>
      </c>
      <c r="C221" s="6">
        <v>2025</v>
      </c>
      <c r="D221" s="7" t="s">
        <v>169</v>
      </c>
      <c r="E221" s="6">
        <v>8</v>
      </c>
      <c r="F221" s="7" t="s">
        <v>171</v>
      </c>
      <c r="G221" s="6">
        <v>32</v>
      </c>
      <c r="H221" s="7" t="s">
        <v>158</v>
      </c>
      <c r="I221" s="6">
        <v>0</v>
      </c>
    </row>
    <row r="222" spans="1:9" x14ac:dyDescent="0.35">
      <c r="A222" s="6">
        <v>221</v>
      </c>
      <c r="B222" s="8">
        <v>45878</v>
      </c>
      <c r="C222" s="6">
        <v>2025</v>
      </c>
      <c r="D222" s="7" t="s">
        <v>169</v>
      </c>
      <c r="E222" s="6">
        <v>8</v>
      </c>
      <c r="F222" s="7" t="s">
        <v>171</v>
      </c>
      <c r="G222" s="6">
        <v>32</v>
      </c>
      <c r="H222" s="7" t="s">
        <v>159</v>
      </c>
      <c r="I222" s="6">
        <v>1</v>
      </c>
    </row>
    <row r="223" spans="1:9" x14ac:dyDescent="0.35">
      <c r="A223" s="6">
        <v>222</v>
      </c>
      <c r="B223" s="8">
        <v>45879</v>
      </c>
      <c r="C223" s="6">
        <v>2025</v>
      </c>
      <c r="D223" s="7" t="s">
        <v>169</v>
      </c>
      <c r="E223" s="6">
        <v>8</v>
      </c>
      <c r="F223" s="7" t="s">
        <v>171</v>
      </c>
      <c r="G223" s="6">
        <v>32</v>
      </c>
      <c r="H223" s="7" t="s">
        <v>160</v>
      </c>
      <c r="I223" s="6">
        <v>1</v>
      </c>
    </row>
    <row r="224" spans="1:9" x14ac:dyDescent="0.35">
      <c r="A224" s="6">
        <v>223</v>
      </c>
      <c r="B224" s="8">
        <v>45880</v>
      </c>
      <c r="C224" s="6">
        <v>2025</v>
      </c>
      <c r="D224" s="7" t="s">
        <v>169</v>
      </c>
      <c r="E224" s="6">
        <v>8</v>
      </c>
      <c r="F224" s="7" t="s">
        <v>171</v>
      </c>
      <c r="G224" s="6">
        <v>33</v>
      </c>
      <c r="H224" s="7" t="s">
        <v>161</v>
      </c>
      <c r="I224" s="6">
        <v>0</v>
      </c>
    </row>
    <row r="225" spans="1:9" x14ac:dyDescent="0.35">
      <c r="A225" s="6">
        <v>224</v>
      </c>
      <c r="B225" s="8">
        <v>45881</v>
      </c>
      <c r="C225" s="6">
        <v>2025</v>
      </c>
      <c r="D225" s="7" t="s">
        <v>169</v>
      </c>
      <c r="E225" s="6">
        <v>8</v>
      </c>
      <c r="F225" s="7" t="s">
        <v>171</v>
      </c>
      <c r="G225" s="6">
        <v>33</v>
      </c>
      <c r="H225" s="7" t="s">
        <v>162</v>
      </c>
      <c r="I225" s="6">
        <v>0</v>
      </c>
    </row>
    <row r="226" spans="1:9" x14ac:dyDescent="0.35">
      <c r="A226" s="6">
        <v>225</v>
      </c>
      <c r="B226" s="8">
        <v>45882</v>
      </c>
      <c r="C226" s="6">
        <v>2025</v>
      </c>
      <c r="D226" s="7" t="s">
        <v>169</v>
      </c>
      <c r="E226" s="6">
        <v>8</v>
      </c>
      <c r="F226" s="7" t="s">
        <v>171</v>
      </c>
      <c r="G226" s="6">
        <v>33</v>
      </c>
      <c r="H226" s="7" t="s">
        <v>156</v>
      </c>
      <c r="I226" s="6">
        <v>0</v>
      </c>
    </row>
    <row r="227" spans="1:9" x14ac:dyDescent="0.35">
      <c r="A227" s="6">
        <v>226</v>
      </c>
      <c r="B227" s="8">
        <v>45883</v>
      </c>
      <c r="C227" s="6">
        <v>2025</v>
      </c>
      <c r="D227" s="7" t="s">
        <v>169</v>
      </c>
      <c r="E227" s="6">
        <v>8</v>
      </c>
      <c r="F227" s="7" t="s">
        <v>171</v>
      </c>
      <c r="G227" s="6">
        <v>33</v>
      </c>
      <c r="H227" s="7" t="s">
        <v>157</v>
      </c>
      <c r="I227" s="6">
        <v>0</v>
      </c>
    </row>
    <row r="228" spans="1:9" x14ac:dyDescent="0.35">
      <c r="A228" s="6">
        <v>227</v>
      </c>
      <c r="B228" s="8">
        <v>45884</v>
      </c>
      <c r="C228" s="6">
        <v>2025</v>
      </c>
      <c r="D228" s="7" t="s">
        <v>169</v>
      </c>
      <c r="E228" s="6">
        <v>8</v>
      </c>
      <c r="F228" s="7" t="s">
        <v>171</v>
      </c>
      <c r="G228" s="6">
        <v>33</v>
      </c>
      <c r="H228" s="7" t="s">
        <v>158</v>
      </c>
      <c r="I228" s="6">
        <v>0</v>
      </c>
    </row>
    <row r="229" spans="1:9" x14ac:dyDescent="0.35">
      <c r="A229" s="6">
        <v>228</v>
      </c>
      <c r="B229" s="8">
        <v>45885</v>
      </c>
      <c r="C229" s="6">
        <v>2025</v>
      </c>
      <c r="D229" s="7" t="s">
        <v>169</v>
      </c>
      <c r="E229" s="6">
        <v>8</v>
      </c>
      <c r="F229" s="7" t="s">
        <v>171</v>
      </c>
      <c r="G229" s="6">
        <v>33</v>
      </c>
      <c r="H229" s="7" t="s">
        <v>159</v>
      </c>
      <c r="I229" s="6">
        <v>1</v>
      </c>
    </row>
    <row r="230" spans="1:9" x14ac:dyDescent="0.35">
      <c r="A230" s="6">
        <v>229</v>
      </c>
      <c r="B230" s="8">
        <v>45886</v>
      </c>
      <c r="C230" s="6">
        <v>2025</v>
      </c>
      <c r="D230" s="7" t="s">
        <v>169</v>
      </c>
      <c r="E230" s="6">
        <v>8</v>
      </c>
      <c r="F230" s="7" t="s">
        <v>171</v>
      </c>
      <c r="G230" s="6">
        <v>33</v>
      </c>
      <c r="H230" s="7" t="s">
        <v>160</v>
      </c>
      <c r="I230" s="6">
        <v>1</v>
      </c>
    </row>
    <row r="231" spans="1:9" x14ac:dyDescent="0.35">
      <c r="A231" s="6">
        <v>230</v>
      </c>
      <c r="B231" s="8">
        <v>45887</v>
      </c>
      <c r="C231" s="6">
        <v>2025</v>
      </c>
      <c r="D231" s="7" t="s">
        <v>169</v>
      </c>
      <c r="E231" s="6">
        <v>8</v>
      </c>
      <c r="F231" s="7" t="s">
        <v>171</v>
      </c>
      <c r="G231" s="6">
        <v>34</v>
      </c>
      <c r="H231" s="7" t="s">
        <v>161</v>
      </c>
      <c r="I231" s="6">
        <v>0</v>
      </c>
    </row>
    <row r="232" spans="1:9" x14ac:dyDescent="0.35">
      <c r="A232" s="6">
        <v>231</v>
      </c>
      <c r="B232" s="8">
        <v>45888</v>
      </c>
      <c r="C232" s="6">
        <v>2025</v>
      </c>
      <c r="D232" s="7" t="s">
        <v>169</v>
      </c>
      <c r="E232" s="6">
        <v>8</v>
      </c>
      <c r="F232" s="7" t="s">
        <v>171</v>
      </c>
      <c r="G232" s="6">
        <v>34</v>
      </c>
      <c r="H232" s="7" t="s">
        <v>162</v>
      </c>
      <c r="I232" s="6">
        <v>0</v>
      </c>
    </row>
    <row r="233" spans="1:9" x14ac:dyDescent="0.35">
      <c r="A233" s="6">
        <v>232</v>
      </c>
      <c r="B233" s="8">
        <v>45889</v>
      </c>
      <c r="C233" s="6">
        <v>2025</v>
      </c>
      <c r="D233" s="7" t="s">
        <v>169</v>
      </c>
      <c r="E233" s="6">
        <v>8</v>
      </c>
      <c r="F233" s="7" t="s">
        <v>171</v>
      </c>
      <c r="G233" s="6">
        <v>34</v>
      </c>
      <c r="H233" s="7" t="s">
        <v>156</v>
      </c>
      <c r="I233" s="6">
        <v>0</v>
      </c>
    </row>
    <row r="234" spans="1:9" x14ac:dyDescent="0.35">
      <c r="A234" s="6">
        <v>233</v>
      </c>
      <c r="B234" s="8">
        <v>45890</v>
      </c>
      <c r="C234" s="6">
        <v>2025</v>
      </c>
      <c r="D234" s="7" t="s">
        <v>169</v>
      </c>
      <c r="E234" s="6">
        <v>8</v>
      </c>
      <c r="F234" s="7" t="s">
        <v>171</v>
      </c>
      <c r="G234" s="6">
        <v>34</v>
      </c>
      <c r="H234" s="7" t="s">
        <v>157</v>
      </c>
      <c r="I234" s="6">
        <v>0</v>
      </c>
    </row>
    <row r="235" spans="1:9" x14ac:dyDescent="0.35">
      <c r="A235" s="6">
        <v>234</v>
      </c>
      <c r="B235" s="8">
        <v>45891</v>
      </c>
      <c r="C235" s="6">
        <v>2025</v>
      </c>
      <c r="D235" s="7" t="s">
        <v>169</v>
      </c>
      <c r="E235" s="6">
        <v>8</v>
      </c>
      <c r="F235" s="7" t="s">
        <v>171</v>
      </c>
      <c r="G235" s="6">
        <v>34</v>
      </c>
      <c r="H235" s="7" t="s">
        <v>158</v>
      </c>
      <c r="I235" s="6">
        <v>0</v>
      </c>
    </row>
    <row r="236" spans="1:9" x14ac:dyDescent="0.35">
      <c r="A236" s="6">
        <v>235</v>
      </c>
      <c r="B236" s="8">
        <v>45892</v>
      </c>
      <c r="C236" s="6">
        <v>2025</v>
      </c>
      <c r="D236" s="7" t="s">
        <v>169</v>
      </c>
      <c r="E236" s="6">
        <v>8</v>
      </c>
      <c r="F236" s="7" t="s">
        <v>171</v>
      </c>
      <c r="G236" s="6">
        <v>34</v>
      </c>
      <c r="H236" s="7" t="s">
        <v>159</v>
      </c>
      <c r="I236" s="6">
        <v>1</v>
      </c>
    </row>
    <row r="237" spans="1:9" x14ac:dyDescent="0.35">
      <c r="A237" s="6">
        <v>236</v>
      </c>
      <c r="B237" s="8">
        <v>45893</v>
      </c>
      <c r="C237" s="6">
        <v>2025</v>
      </c>
      <c r="D237" s="7" t="s">
        <v>169</v>
      </c>
      <c r="E237" s="6">
        <v>8</v>
      </c>
      <c r="F237" s="7" t="s">
        <v>171</v>
      </c>
      <c r="G237" s="6">
        <v>34</v>
      </c>
      <c r="H237" s="7" t="s">
        <v>160</v>
      </c>
      <c r="I237" s="6">
        <v>1</v>
      </c>
    </row>
    <row r="238" spans="1:9" x14ac:dyDescent="0.35">
      <c r="A238" s="6">
        <v>237</v>
      </c>
      <c r="B238" s="8">
        <v>45894</v>
      </c>
      <c r="C238" s="6">
        <v>2025</v>
      </c>
      <c r="D238" s="7" t="s">
        <v>169</v>
      </c>
      <c r="E238" s="6">
        <v>8</v>
      </c>
      <c r="F238" s="7" t="s">
        <v>171</v>
      </c>
      <c r="G238" s="6">
        <v>35</v>
      </c>
      <c r="H238" s="7" t="s">
        <v>161</v>
      </c>
      <c r="I238" s="6">
        <v>0</v>
      </c>
    </row>
    <row r="239" spans="1:9" x14ac:dyDescent="0.35">
      <c r="A239" s="6">
        <v>238</v>
      </c>
      <c r="B239" s="8">
        <v>45895</v>
      </c>
      <c r="C239" s="6">
        <v>2025</v>
      </c>
      <c r="D239" s="7" t="s">
        <v>169</v>
      </c>
      <c r="E239" s="6">
        <v>8</v>
      </c>
      <c r="F239" s="7" t="s">
        <v>171</v>
      </c>
      <c r="G239" s="6">
        <v>35</v>
      </c>
      <c r="H239" s="7" t="s">
        <v>162</v>
      </c>
      <c r="I239" s="6">
        <v>0</v>
      </c>
    </row>
    <row r="240" spans="1:9" x14ac:dyDescent="0.35">
      <c r="A240" s="6">
        <v>239</v>
      </c>
      <c r="B240" s="8">
        <v>45896</v>
      </c>
      <c r="C240" s="6">
        <v>2025</v>
      </c>
      <c r="D240" s="7" t="s">
        <v>169</v>
      </c>
      <c r="E240" s="6">
        <v>8</v>
      </c>
      <c r="F240" s="7" t="s">
        <v>171</v>
      </c>
      <c r="G240" s="6">
        <v>35</v>
      </c>
      <c r="H240" s="7" t="s">
        <v>156</v>
      </c>
      <c r="I240" s="6">
        <v>0</v>
      </c>
    </row>
    <row r="241" spans="1:9" x14ac:dyDescent="0.35">
      <c r="A241" s="6">
        <v>240</v>
      </c>
      <c r="B241" s="8">
        <v>45897</v>
      </c>
      <c r="C241" s="6">
        <v>2025</v>
      </c>
      <c r="D241" s="7" t="s">
        <v>169</v>
      </c>
      <c r="E241" s="6">
        <v>8</v>
      </c>
      <c r="F241" s="7" t="s">
        <v>171</v>
      </c>
      <c r="G241" s="6">
        <v>35</v>
      </c>
      <c r="H241" s="7" t="s">
        <v>157</v>
      </c>
      <c r="I241" s="6">
        <v>0</v>
      </c>
    </row>
    <row r="242" spans="1:9" x14ac:dyDescent="0.35">
      <c r="A242" s="6">
        <v>241</v>
      </c>
      <c r="B242" s="8">
        <v>45898</v>
      </c>
      <c r="C242" s="6">
        <v>2025</v>
      </c>
      <c r="D242" s="7" t="s">
        <v>169</v>
      </c>
      <c r="E242" s="6">
        <v>8</v>
      </c>
      <c r="F242" s="7" t="s">
        <v>171</v>
      </c>
      <c r="G242" s="6">
        <v>35</v>
      </c>
      <c r="H242" s="7" t="s">
        <v>158</v>
      </c>
      <c r="I242" s="6">
        <v>0</v>
      </c>
    </row>
    <row r="243" spans="1:9" x14ac:dyDescent="0.35">
      <c r="A243" s="6">
        <v>242</v>
      </c>
      <c r="B243" s="8">
        <v>45899</v>
      </c>
      <c r="C243" s="6">
        <v>2025</v>
      </c>
      <c r="D243" s="7" t="s">
        <v>169</v>
      </c>
      <c r="E243" s="6">
        <v>8</v>
      </c>
      <c r="F243" s="7" t="s">
        <v>171</v>
      </c>
      <c r="G243" s="6">
        <v>35</v>
      </c>
      <c r="H243" s="7" t="s">
        <v>159</v>
      </c>
      <c r="I243" s="6">
        <v>1</v>
      </c>
    </row>
    <row r="244" spans="1:9" x14ac:dyDescent="0.35">
      <c r="A244" s="6">
        <v>243</v>
      </c>
      <c r="B244" s="8">
        <v>45900</v>
      </c>
      <c r="C244" s="6">
        <v>2025</v>
      </c>
      <c r="D244" s="7" t="s">
        <v>169</v>
      </c>
      <c r="E244" s="6">
        <v>8</v>
      </c>
      <c r="F244" s="7" t="s">
        <v>171</v>
      </c>
      <c r="G244" s="6">
        <v>35</v>
      </c>
      <c r="H244" s="7" t="s">
        <v>160</v>
      </c>
      <c r="I244" s="6">
        <v>1</v>
      </c>
    </row>
    <row r="245" spans="1:9" x14ac:dyDescent="0.35">
      <c r="A245" s="6">
        <v>244</v>
      </c>
      <c r="B245" s="8">
        <v>45901</v>
      </c>
      <c r="C245" s="6">
        <v>2025</v>
      </c>
      <c r="D245" s="7" t="s">
        <v>169</v>
      </c>
      <c r="E245" s="6">
        <v>9</v>
      </c>
      <c r="F245" s="7" t="s">
        <v>172</v>
      </c>
      <c r="G245" s="6">
        <v>36</v>
      </c>
      <c r="H245" s="7" t="s">
        <v>161</v>
      </c>
      <c r="I245" s="6">
        <v>0</v>
      </c>
    </row>
    <row r="246" spans="1:9" x14ac:dyDescent="0.35">
      <c r="A246" s="6">
        <v>245</v>
      </c>
      <c r="B246" s="8">
        <v>45902</v>
      </c>
      <c r="C246" s="6">
        <v>2025</v>
      </c>
      <c r="D246" s="7" t="s">
        <v>169</v>
      </c>
      <c r="E246" s="6">
        <v>9</v>
      </c>
      <c r="F246" s="7" t="s">
        <v>172</v>
      </c>
      <c r="G246" s="6">
        <v>36</v>
      </c>
      <c r="H246" s="7" t="s">
        <v>162</v>
      </c>
      <c r="I246" s="6">
        <v>0</v>
      </c>
    </row>
    <row r="247" spans="1:9" x14ac:dyDescent="0.35">
      <c r="A247" s="6">
        <v>246</v>
      </c>
      <c r="B247" s="8">
        <v>45903</v>
      </c>
      <c r="C247" s="6">
        <v>2025</v>
      </c>
      <c r="D247" s="7" t="s">
        <v>169</v>
      </c>
      <c r="E247" s="6">
        <v>9</v>
      </c>
      <c r="F247" s="7" t="s">
        <v>172</v>
      </c>
      <c r="G247" s="6">
        <v>36</v>
      </c>
      <c r="H247" s="7" t="s">
        <v>156</v>
      </c>
      <c r="I247" s="6">
        <v>0</v>
      </c>
    </row>
    <row r="248" spans="1:9" x14ac:dyDescent="0.35">
      <c r="A248" s="6">
        <v>247</v>
      </c>
      <c r="B248" s="8">
        <v>45904</v>
      </c>
      <c r="C248" s="6">
        <v>2025</v>
      </c>
      <c r="D248" s="7" t="s">
        <v>169</v>
      </c>
      <c r="E248" s="6">
        <v>9</v>
      </c>
      <c r="F248" s="7" t="s">
        <v>172</v>
      </c>
      <c r="G248" s="6">
        <v>36</v>
      </c>
      <c r="H248" s="7" t="s">
        <v>157</v>
      </c>
      <c r="I248" s="6">
        <v>0</v>
      </c>
    </row>
    <row r="249" spans="1:9" x14ac:dyDescent="0.35">
      <c r="A249" s="6">
        <v>248</v>
      </c>
      <c r="B249" s="8">
        <v>45905</v>
      </c>
      <c r="C249" s="6">
        <v>2025</v>
      </c>
      <c r="D249" s="7" t="s">
        <v>169</v>
      </c>
      <c r="E249" s="6">
        <v>9</v>
      </c>
      <c r="F249" s="7" t="s">
        <v>172</v>
      </c>
      <c r="G249" s="6">
        <v>36</v>
      </c>
      <c r="H249" s="7" t="s">
        <v>158</v>
      </c>
      <c r="I249" s="6">
        <v>0</v>
      </c>
    </row>
    <row r="250" spans="1:9" x14ac:dyDescent="0.35">
      <c r="A250" s="6">
        <v>249</v>
      </c>
      <c r="B250" s="8">
        <v>45906</v>
      </c>
      <c r="C250" s="6">
        <v>2025</v>
      </c>
      <c r="D250" s="7" t="s">
        <v>169</v>
      </c>
      <c r="E250" s="6">
        <v>9</v>
      </c>
      <c r="F250" s="7" t="s">
        <v>172</v>
      </c>
      <c r="G250" s="6">
        <v>36</v>
      </c>
      <c r="H250" s="7" t="s">
        <v>159</v>
      </c>
      <c r="I250" s="6">
        <v>1</v>
      </c>
    </row>
    <row r="251" spans="1:9" x14ac:dyDescent="0.35">
      <c r="A251" s="6">
        <v>250</v>
      </c>
      <c r="B251" s="8">
        <v>45907</v>
      </c>
      <c r="C251" s="6">
        <v>2025</v>
      </c>
      <c r="D251" s="7" t="s">
        <v>169</v>
      </c>
      <c r="E251" s="6">
        <v>9</v>
      </c>
      <c r="F251" s="7" t="s">
        <v>172</v>
      </c>
      <c r="G251" s="6">
        <v>36</v>
      </c>
      <c r="H251" s="7" t="s">
        <v>160</v>
      </c>
      <c r="I251" s="6">
        <v>1</v>
      </c>
    </row>
    <row r="252" spans="1:9" x14ac:dyDescent="0.35">
      <c r="A252" s="6">
        <v>251</v>
      </c>
      <c r="B252" s="8">
        <v>45908</v>
      </c>
      <c r="C252" s="6">
        <v>2025</v>
      </c>
      <c r="D252" s="7" t="s">
        <v>169</v>
      </c>
      <c r="E252" s="6">
        <v>9</v>
      </c>
      <c r="F252" s="7" t="s">
        <v>172</v>
      </c>
      <c r="G252" s="6">
        <v>37</v>
      </c>
      <c r="H252" s="7" t="s">
        <v>161</v>
      </c>
      <c r="I252" s="6">
        <v>0</v>
      </c>
    </row>
    <row r="253" spans="1:9" x14ac:dyDescent="0.35">
      <c r="A253" s="6">
        <v>252</v>
      </c>
      <c r="B253" s="8">
        <v>45909</v>
      </c>
      <c r="C253" s="6">
        <v>2025</v>
      </c>
      <c r="D253" s="7" t="s">
        <v>169</v>
      </c>
      <c r="E253" s="6">
        <v>9</v>
      </c>
      <c r="F253" s="7" t="s">
        <v>172</v>
      </c>
      <c r="G253" s="6">
        <v>37</v>
      </c>
      <c r="H253" s="7" t="s">
        <v>162</v>
      </c>
      <c r="I253" s="6">
        <v>0</v>
      </c>
    </row>
    <row r="254" spans="1:9" x14ac:dyDescent="0.35">
      <c r="A254" s="6">
        <v>253</v>
      </c>
      <c r="B254" s="8">
        <v>45910</v>
      </c>
      <c r="C254" s="6">
        <v>2025</v>
      </c>
      <c r="D254" s="7" t="s">
        <v>169</v>
      </c>
      <c r="E254" s="6">
        <v>9</v>
      </c>
      <c r="F254" s="7" t="s">
        <v>172</v>
      </c>
      <c r="G254" s="6">
        <v>37</v>
      </c>
      <c r="H254" s="7" t="s">
        <v>156</v>
      </c>
      <c r="I254" s="6">
        <v>0</v>
      </c>
    </row>
    <row r="255" spans="1:9" x14ac:dyDescent="0.35">
      <c r="A255" s="6">
        <v>254</v>
      </c>
      <c r="B255" s="8">
        <v>45911</v>
      </c>
      <c r="C255" s="6">
        <v>2025</v>
      </c>
      <c r="D255" s="7" t="s">
        <v>169</v>
      </c>
      <c r="E255" s="6">
        <v>9</v>
      </c>
      <c r="F255" s="7" t="s">
        <v>172</v>
      </c>
      <c r="G255" s="6">
        <v>37</v>
      </c>
      <c r="H255" s="7" t="s">
        <v>157</v>
      </c>
      <c r="I255" s="6">
        <v>0</v>
      </c>
    </row>
    <row r="256" spans="1:9" x14ac:dyDescent="0.35">
      <c r="A256" s="6">
        <v>255</v>
      </c>
      <c r="B256" s="8">
        <v>45912</v>
      </c>
      <c r="C256" s="6">
        <v>2025</v>
      </c>
      <c r="D256" s="7" t="s">
        <v>169</v>
      </c>
      <c r="E256" s="6">
        <v>9</v>
      </c>
      <c r="F256" s="7" t="s">
        <v>172</v>
      </c>
      <c r="G256" s="6">
        <v>37</v>
      </c>
      <c r="H256" s="7" t="s">
        <v>158</v>
      </c>
      <c r="I256" s="6">
        <v>0</v>
      </c>
    </row>
    <row r="257" spans="1:9" x14ac:dyDescent="0.35">
      <c r="A257" s="6">
        <v>256</v>
      </c>
      <c r="B257" s="8">
        <v>45913</v>
      </c>
      <c r="C257" s="6">
        <v>2025</v>
      </c>
      <c r="D257" s="7" t="s">
        <v>169</v>
      </c>
      <c r="E257" s="6">
        <v>9</v>
      </c>
      <c r="F257" s="7" t="s">
        <v>172</v>
      </c>
      <c r="G257" s="6">
        <v>37</v>
      </c>
      <c r="H257" s="7" t="s">
        <v>159</v>
      </c>
      <c r="I257" s="6">
        <v>1</v>
      </c>
    </row>
    <row r="258" spans="1:9" x14ac:dyDescent="0.35">
      <c r="A258" s="6">
        <v>257</v>
      </c>
      <c r="B258" s="8">
        <v>45914</v>
      </c>
      <c r="C258" s="6">
        <v>2025</v>
      </c>
      <c r="D258" s="7" t="s">
        <v>169</v>
      </c>
      <c r="E258" s="6">
        <v>9</v>
      </c>
      <c r="F258" s="7" t="s">
        <v>172</v>
      </c>
      <c r="G258" s="6">
        <v>37</v>
      </c>
      <c r="H258" s="7" t="s">
        <v>160</v>
      </c>
      <c r="I258" s="6">
        <v>1</v>
      </c>
    </row>
    <row r="259" spans="1:9" x14ac:dyDescent="0.35">
      <c r="A259" s="6">
        <v>258</v>
      </c>
      <c r="B259" s="8">
        <v>45915</v>
      </c>
      <c r="C259" s="6">
        <v>2025</v>
      </c>
      <c r="D259" s="7" t="s">
        <v>169</v>
      </c>
      <c r="E259" s="6">
        <v>9</v>
      </c>
      <c r="F259" s="7" t="s">
        <v>172</v>
      </c>
      <c r="G259" s="6">
        <v>38</v>
      </c>
      <c r="H259" s="7" t="s">
        <v>161</v>
      </c>
      <c r="I259" s="6">
        <v>0</v>
      </c>
    </row>
    <row r="260" spans="1:9" x14ac:dyDescent="0.35">
      <c r="A260" s="6">
        <v>259</v>
      </c>
      <c r="B260" s="8">
        <v>45916</v>
      </c>
      <c r="C260" s="6">
        <v>2025</v>
      </c>
      <c r="D260" s="7" t="s">
        <v>169</v>
      </c>
      <c r="E260" s="6">
        <v>9</v>
      </c>
      <c r="F260" s="7" t="s">
        <v>172</v>
      </c>
      <c r="G260" s="6">
        <v>38</v>
      </c>
      <c r="H260" s="7" t="s">
        <v>162</v>
      </c>
      <c r="I260" s="6">
        <v>0</v>
      </c>
    </row>
    <row r="261" spans="1:9" x14ac:dyDescent="0.35">
      <c r="A261" s="6">
        <v>260</v>
      </c>
      <c r="B261" s="8">
        <v>45917</v>
      </c>
      <c r="C261" s="6">
        <v>2025</v>
      </c>
      <c r="D261" s="7" t="s">
        <v>169</v>
      </c>
      <c r="E261" s="6">
        <v>9</v>
      </c>
      <c r="F261" s="7" t="s">
        <v>172</v>
      </c>
      <c r="G261" s="6">
        <v>38</v>
      </c>
      <c r="H261" s="7" t="s">
        <v>156</v>
      </c>
      <c r="I261" s="6">
        <v>0</v>
      </c>
    </row>
    <row r="262" spans="1:9" x14ac:dyDescent="0.35">
      <c r="A262" s="6">
        <v>261</v>
      </c>
      <c r="B262" s="8">
        <v>45918</v>
      </c>
      <c r="C262" s="6">
        <v>2025</v>
      </c>
      <c r="D262" s="7" t="s">
        <v>169</v>
      </c>
      <c r="E262" s="6">
        <v>9</v>
      </c>
      <c r="F262" s="7" t="s">
        <v>172</v>
      </c>
      <c r="G262" s="6">
        <v>38</v>
      </c>
      <c r="H262" s="7" t="s">
        <v>157</v>
      </c>
      <c r="I262" s="6">
        <v>0</v>
      </c>
    </row>
    <row r="263" spans="1:9" x14ac:dyDescent="0.35">
      <c r="A263" s="6">
        <v>262</v>
      </c>
      <c r="B263" s="8">
        <v>45919</v>
      </c>
      <c r="C263" s="6">
        <v>2025</v>
      </c>
      <c r="D263" s="7" t="s">
        <v>169</v>
      </c>
      <c r="E263" s="6">
        <v>9</v>
      </c>
      <c r="F263" s="7" t="s">
        <v>172</v>
      </c>
      <c r="G263" s="6">
        <v>38</v>
      </c>
      <c r="H263" s="7" t="s">
        <v>158</v>
      </c>
      <c r="I263" s="6">
        <v>0</v>
      </c>
    </row>
    <row r="264" spans="1:9" x14ac:dyDescent="0.35">
      <c r="A264" s="6">
        <v>263</v>
      </c>
      <c r="B264" s="8">
        <v>45920</v>
      </c>
      <c r="C264" s="6">
        <v>2025</v>
      </c>
      <c r="D264" s="7" t="s">
        <v>169</v>
      </c>
      <c r="E264" s="6">
        <v>9</v>
      </c>
      <c r="F264" s="7" t="s">
        <v>172</v>
      </c>
      <c r="G264" s="6">
        <v>38</v>
      </c>
      <c r="H264" s="7" t="s">
        <v>159</v>
      </c>
      <c r="I264" s="6">
        <v>1</v>
      </c>
    </row>
    <row r="265" spans="1:9" x14ac:dyDescent="0.35">
      <c r="A265" s="6">
        <v>264</v>
      </c>
      <c r="B265" s="8">
        <v>45921</v>
      </c>
      <c r="C265" s="6">
        <v>2025</v>
      </c>
      <c r="D265" s="7" t="s">
        <v>169</v>
      </c>
      <c r="E265" s="6">
        <v>9</v>
      </c>
      <c r="F265" s="7" t="s">
        <v>172</v>
      </c>
      <c r="G265" s="6">
        <v>38</v>
      </c>
      <c r="H265" s="7" t="s">
        <v>160</v>
      </c>
      <c r="I265" s="6">
        <v>1</v>
      </c>
    </row>
    <row r="266" spans="1:9" x14ac:dyDescent="0.35">
      <c r="A266" s="6">
        <v>265</v>
      </c>
      <c r="B266" s="8">
        <v>45922</v>
      </c>
      <c r="C266" s="6">
        <v>2025</v>
      </c>
      <c r="D266" s="7" t="s">
        <v>169</v>
      </c>
      <c r="E266" s="6">
        <v>9</v>
      </c>
      <c r="F266" s="7" t="s">
        <v>172</v>
      </c>
      <c r="G266" s="6">
        <v>39</v>
      </c>
      <c r="H266" s="7" t="s">
        <v>161</v>
      </c>
      <c r="I266" s="6">
        <v>0</v>
      </c>
    </row>
    <row r="267" spans="1:9" x14ac:dyDescent="0.35">
      <c r="A267" s="6">
        <v>266</v>
      </c>
      <c r="B267" s="8">
        <v>45923</v>
      </c>
      <c r="C267" s="6">
        <v>2025</v>
      </c>
      <c r="D267" s="7" t="s">
        <v>169</v>
      </c>
      <c r="E267" s="6">
        <v>9</v>
      </c>
      <c r="F267" s="7" t="s">
        <v>172</v>
      </c>
      <c r="G267" s="6">
        <v>39</v>
      </c>
      <c r="H267" s="7" t="s">
        <v>162</v>
      </c>
      <c r="I267" s="6">
        <v>0</v>
      </c>
    </row>
    <row r="268" spans="1:9" x14ac:dyDescent="0.35">
      <c r="A268" s="6">
        <v>267</v>
      </c>
      <c r="B268" s="8">
        <v>45924</v>
      </c>
      <c r="C268" s="6">
        <v>2025</v>
      </c>
      <c r="D268" s="7" t="s">
        <v>169</v>
      </c>
      <c r="E268" s="6">
        <v>9</v>
      </c>
      <c r="F268" s="7" t="s">
        <v>172</v>
      </c>
      <c r="G268" s="6">
        <v>39</v>
      </c>
      <c r="H268" s="7" t="s">
        <v>156</v>
      </c>
      <c r="I268" s="6">
        <v>0</v>
      </c>
    </row>
    <row r="269" spans="1:9" x14ac:dyDescent="0.35">
      <c r="A269" s="6">
        <v>268</v>
      </c>
      <c r="B269" s="8">
        <v>45925</v>
      </c>
      <c r="C269" s="6">
        <v>2025</v>
      </c>
      <c r="D269" s="7" t="s">
        <v>169</v>
      </c>
      <c r="E269" s="6">
        <v>9</v>
      </c>
      <c r="F269" s="7" t="s">
        <v>172</v>
      </c>
      <c r="G269" s="6">
        <v>39</v>
      </c>
      <c r="H269" s="7" t="s">
        <v>157</v>
      </c>
      <c r="I269" s="6">
        <v>0</v>
      </c>
    </row>
    <row r="270" spans="1:9" x14ac:dyDescent="0.35">
      <c r="A270" s="6">
        <v>269</v>
      </c>
      <c r="B270" s="8">
        <v>45926</v>
      </c>
      <c r="C270" s="6">
        <v>2025</v>
      </c>
      <c r="D270" s="7" t="s">
        <v>169</v>
      </c>
      <c r="E270" s="6">
        <v>9</v>
      </c>
      <c r="F270" s="7" t="s">
        <v>172</v>
      </c>
      <c r="G270" s="6">
        <v>39</v>
      </c>
      <c r="H270" s="7" t="s">
        <v>158</v>
      </c>
      <c r="I270" s="6">
        <v>0</v>
      </c>
    </row>
    <row r="271" spans="1:9" x14ac:dyDescent="0.35">
      <c r="A271" s="6">
        <v>270</v>
      </c>
      <c r="B271" s="8">
        <v>45927</v>
      </c>
      <c r="C271" s="6">
        <v>2025</v>
      </c>
      <c r="D271" s="7" t="s">
        <v>169</v>
      </c>
      <c r="E271" s="6">
        <v>9</v>
      </c>
      <c r="F271" s="7" t="s">
        <v>172</v>
      </c>
      <c r="G271" s="6">
        <v>39</v>
      </c>
      <c r="H271" s="7" t="s">
        <v>159</v>
      </c>
      <c r="I271" s="6">
        <v>1</v>
      </c>
    </row>
    <row r="272" spans="1:9" x14ac:dyDescent="0.35">
      <c r="A272" s="6">
        <v>271</v>
      </c>
      <c r="B272" s="8">
        <v>45928</v>
      </c>
      <c r="C272" s="6">
        <v>2025</v>
      </c>
      <c r="D272" s="7" t="s">
        <v>169</v>
      </c>
      <c r="E272" s="6">
        <v>9</v>
      </c>
      <c r="F272" s="7" t="s">
        <v>172</v>
      </c>
      <c r="G272" s="6">
        <v>39</v>
      </c>
      <c r="H272" s="7" t="s">
        <v>160</v>
      </c>
      <c r="I272" s="6">
        <v>1</v>
      </c>
    </row>
    <row r="273" spans="1:9" x14ac:dyDescent="0.35">
      <c r="A273" s="6">
        <v>272</v>
      </c>
      <c r="B273" s="8">
        <v>45929</v>
      </c>
      <c r="C273" s="6">
        <v>2025</v>
      </c>
      <c r="D273" s="7" t="s">
        <v>169</v>
      </c>
      <c r="E273" s="6">
        <v>9</v>
      </c>
      <c r="F273" s="7" t="s">
        <v>172</v>
      </c>
      <c r="G273" s="6">
        <v>40</v>
      </c>
      <c r="H273" s="7" t="s">
        <v>161</v>
      </c>
      <c r="I273" s="6">
        <v>0</v>
      </c>
    </row>
    <row r="274" spans="1:9" x14ac:dyDescent="0.35">
      <c r="A274" s="6">
        <v>273</v>
      </c>
      <c r="B274" s="8">
        <v>45930</v>
      </c>
      <c r="C274" s="6">
        <v>2025</v>
      </c>
      <c r="D274" s="7" t="s">
        <v>169</v>
      </c>
      <c r="E274" s="6">
        <v>9</v>
      </c>
      <c r="F274" s="7" t="s">
        <v>172</v>
      </c>
      <c r="G274" s="6">
        <v>40</v>
      </c>
      <c r="H274" s="7" t="s">
        <v>162</v>
      </c>
      <c r="I274" s="6">
        <v>0</v>
      </c>
    </row>
    <row r="275" spans="1:9" x14ac:dyDescent="0.35">
      <c r="A275" s="6">
        <v>274</v>
      </c>
      <c r="B275" s="8">
        <v>45931</v>
      </c>
      <c r="C275" s="6">
        <v>2025</v>
      </c>
      <c r="D275" s="7" t="s">
        <v>173</v>
      </c>
      <c r="E275" s="6">
        <v>10</v>
      </c>
      <c r="F275" s="7" t="s">
        <v>174</v>
      </c>
      <c r="G275" s="6">
        <v>40</v>
      </c>
      <c r="H275" s="7" t="s">
        <v>156</v>
      </c>
      <c r="I275" s="6">
        <v>0</v>
      </c>
    </row>
    <row r="276" spans="1:9" x14ac:dyDescent="0.35">
      <c r="A276" s="6">
        <v>275</v>
      </c>
      <c r="B276" s="8">
        <v>45932</v>
      </c>
      <c r="C276" s="6">
        <v>2025</v>
      </c>
      <c r="D276" s="7" t="s">
        <v>173</v>
      </c>
      <c r="E276" s="6">
        <v>10</v>
      </c>
      <c r="F276" s="7" t="s">
        <v>174</v>
      </c>
      <c r="G276" s="6">
        <v>40</v>
      </c>
      <c r="H276" s="7" t="s">
        <v>157</v>
      </c>
      <c r="I276" s="6">
        <v>0</v>
      </c>
    </row>
    <row r="277" spans="1:9" x14ac:dyDescent="0.35">
      <c r="A277" s="6">
        <v>276</v>
      </c>
      <c r="B277" s="8">
        <v>45933</v>
      </c>
      <c r="C277" s="6">
        <v>2025</v>
      </c>
      <c r="D277" s="7" t="s">
        <v>173</v>
      </c>
      <c r="E277" s="6">
        <v>10</v>
      </c>
      <c r="F277" s="7" t="s">
        <v>174</v>
      </c>
      <c r="G277" s="6">
        <v>40</v>
      </c>
      <c r="H277" s="7" t="s">
        <v>158</v>
      </c>
      <c r="I277" s="6">
        <v>0</v>
      </c>
    </row>
    <row r="278" spans="1:9" x14ac:dyDescent="0.35">
      <c r="A278" s="6">
        <v>277</v>
      </c>
      <c r="B278" s="8">
        <v>45934</v>
      </c>
      <c r="C278" s="6">
        <v>2025</v>
      </c>
      <c r="D278" s="7" t="s">
        <v>173</v>
      </c>
      <c r="E278" s="6">
        <v>10</v>
      </c>
      <c r="F278" s="7" t="s">
        <v>174</v>
      </c>
      <c r="G278" s="6">
        <v>40</v>
      </c>
      <c r="H278" s="7" t="s">
        <v>159</v>
      </c>
      <c r="I278" s="6">
        <v>1</v>
      </c>
    </row>
    <row r="279" spans="1:9" x14ac:dyDescent="0.35">
      <c r="A279" s="6">
        <v>278</v>
      </c>
      <c r="B279" s="8">
        <v>45935</v>
      </c>
      <c r="C279" s="6">
        <v>2025</v>
      </c>
      <c r="D279" s="7" t="s">
        <v>173</v>
      </c>
      <c r="E279" s="6">
        <v>10</v>
      </c>
      <c r="F279" s="7" t="s">
        <v>174</v>
      </c>
      <c r="G279" s="6">
        <v>40</v>
      </c>
      <c r="H279" s="7" t="s">
        <v>160</v>
      </c>
      <c r="I279" s="6">
        <v>1</v>
      </c>
    </row>
    <row r="280" spans="1:9" x14ac:dyDescent="0.35">
      <c r="A280" s="6">
        <v>279</v>
      </c>
      <c r="B280" s="8">
        <v>45936</v>
      </c>
      <c r="C280" s="6">
        <v>2025</v>
      </c>
      <c r="D280" s="7" t="s">
        <v>173</v>
      </c>
      <c r="E280" s="6">
        <v>10</v>
      </c>
      <c r="F280" s="7" t="s">
        <v>174</v>
      </c>
      <c r="G280" s="6">
        <v>41</v>
      </c>
      <c r="H280" s="7" t="s">
        <v>161</v>
      </c>
      <c r="I280" s="6">
        <v>0</v>
      </c>
    </row>
    <row r="281" spans="1:9" x14ac:dyDescent="0.35">
      <c r="A281" s="6">
        <v>280</v>
      </c>
      <c r="B281" s="8">
        <v>45937</v>
      </c>
      <c r="C281" s="6">
        <v>2025</v>
      </c>
      <c r="D281" s="7" t="s">
        <v>173</v>
      </c>
      <c r="E281" s="6">
        <v>10</v>
      </c>
      <c r="F281" s="7" t="s">
        <v>174</v>
      </c>
      <c r="G281" s="6">
        <v>41</v>
      </c>
      <c r="H281" s="7" t="s">
        <v>162</v>
      </c>
      <c r="I281" s="6">
        <v>0</v>
      </c>
    </row>
    <row r="282" spans="1:9" x14ac:dyDescent="0.35">
      <c r="A282" s="6">
        <v>281</v>
      </c>
      <c r="B282" s="8">
        <v>45938</v>
      </c>
      <c r="C282" s="6">
        <v>2025</v>
      </c>
      <c r="D282" s="7" t="s">
        <v>173</v>
      </c>
      <c r="E282" s="6">
        <v>10</v>
      </c>
      <c r="F282" s="7" t="s">
        <v>174</v>
      </c>
      <c r="G282" s="6">
        <v>41</v>
      </c>
      <c r="H282" s="7" t="s">
        <v>156</v>
      </c>
      <c r="I282" s="6">
        <v>0</v>
      </c>
    </row>
    <row r="283" spans="1:9" x14ac:dyDescent="0.35">
      <c r="A283" s="6">
        <v>282</v>
      </c>
      <c r="B283" s="8">
        <v>45939</v>
      </c>
      <c r="C283" s="6">
        <v>2025</v>
      </c>
      <c r="D283" s="7" t="s">
        <v>173</v>
      </c>
      <c r="E283" s="6">
        <v>10</v>
      </c>
      <c r="F283" s="7" t="s">
        <v>174</v>
      </c>
      <c r="G283" s="6">
        <v>41</v>
      </c>
      <c r="H283" s="7" t="s">
        <v>157</v>
      </c>
      <c r="I283" s="6">
        <v>0</v>
      </c>
    </row>
    <row r="284" spans="1:9" x14ac:dyDescent="0.35">
      <c r="A284" s="6">
        <v>283</v>
      </c>
      <c r="B284" s="8">
        <v>45940</v>
      </c>
      <c r="C284" s="6">
        <v>2025</v>
      </c>
      <c r="D284" s="7" t="s">
        <v>173</v>
      </c>
      <c r="E284" s="6">
        <v>10</v>
      </c>
      <c r="F284" s="7" t="s">
        <v>174</v>
      </c>
      <c r="G284" s="6">
        <v>41</v>
      </c>
      <c r="H284" s="7" t="s">
        <v>158</v>
      </c>
      <c r="I284" s="6">
        <v>0</v>
      </c>
    </row>
    <row r="285" spans="1:9" x14ac:dyDescent="0.35">
      <c r="A285" s="6">
        <v>284</v>
      </c>
      <c r="B285" s="8">
        <v>45941</v>
      </c>
      <c r="C285" s="6">
        <v>2025</v>
      </c>
      <c r="D285" s="7" t="s">
        <v>173</v>
      </c>
      <c r="E285" s="6">
        <v>10</v>
      </c>
      <c r="F285" s="7" t="s">
        <v>174</v>
      </c>
      <c r="G285" s="6">
        <v>41</v>
      </c>
      <c r="H285" s="7" t="s">
        <v>159</v>
      </c>
      <c r="I285" s="6">
        <v>1</v>
      </c>
    </row>
    <row r="286" spans="1:9" x14ac:dyDescent="0.35">
      <c r="A286" s="6">
        <v>285</v>
      </c>
      <c r="B286" s="8">
        <v>45942</v>
      </c>
      <c r="C286" s="6">
        <v>2025</v>
      </c>
      <c r="D286" s="7" t="s">
        <v>173</v>
      </c>
      <c r="E286" s="6">
        <v>10</v>
      </c>
      <c r="F286" s="7" t="s">
        <v>174</v>
      </c>
      <c r="G286" s="6">
        <v>41</v>
      </c>
      <c r="H286" s="7" t="s">
        <v>160</v>
      </c>
      <c r="I286" s="6">
        <v>1</v>
      </c>
    </row>
    <row r="287" spans="1:9" x14ac:dyDescent="0.35">
      <c r="A287" s="6">
        <v>286</v>
      </c>
      <c r="B287" s="8">
        <v>45943</v>
      </c>
      <c r="C287" s="6">
        <v>2025</v>
      </c>
      <c r="D287" s="7" t="s">
        <v>173</v>
      </c>
      <c r="E287" s="6">
        <v>10</v>
      </c>
      <c r="F287" s="7" t="s">
        <v>174</v>
      </c>
      <c r="G287" s="6">
        <v>42</v>
      </c>
      <c r="H287" s="7" t="s">
        <v>161</v>
      </c>
      <c r="I287" s="6">
        <v>0</v>
      </c>
    </row>
    <row r="288" spans="1:9" x14ac:dyDescent="0.35">
      <c r="A288" s="6">
        <v>287</v>
      </c>
      <c r="B288" s="8">
        <v>45944</v>
      </c>
      <c r="C288" s="6">
        <v>2025</v>
      </c>
      <c r="D288" s="7" t="s">
        <v>173</v>
      </c>
      <c r="E288" s="6">
        <v>10</v>
      </c>
      <c r="F288" s="7" t="s">
        <v>174</v>
      </c>
      <c r="G288" s="6">
        <v>42</v>
      </c>
      <c r="H288" s="7" t="s">
        <v>162</v>
      </c>
      <c r="I288" s="6">
        <v>0</v>
      </c>
    </row>
    <row r="289" spans="1:9" x14ac:dyDescent="0.35">
      <c r="A289" s="6">
        <v>288</v>
      </c>
      <c r="B289" s="8">
        <v>45945</v>
      </c>
      <c r="C289" s="6">
        <v>2025</v>
      </c>
      <c r="D289" s="7" t="s">
        <v>173</v>
      </c>
      <c r="E289" s="6">
        <v>10</v>
      </c>
      <c r="F289" s="7" t="s">
        <v>174</v>
      </c>
      <c r="G289" s="6">
        <v>42</v>
      </c>
      <c r="H289" s="7" t="s">
        <v>156</v>
      </c>
      <c r="I289" s="6">
        <v>0</v>
      </c>
    </row>
    <row r="290" spans="1:9" x14ac:dyDescent="0.35">
      <c r="A290" s="6">
        <v>289</v>
      </c>
      <c r="B290" s="8">
        <v>45946</v>
      </c>
      <c r="C290" s="6">
        <v>2025</v>
      </c>
      <c r="D290" s="7" t="s">
        <v>173</v>
      </c>
      <c r="E290" s="6">
        <v>10</v>
      </c>
      <c r="F290" s="7" t="s">
        <v>174</v>
      </c>
      <c r="G290" s="6">
        <v>42</v>
      </c>
      <c r="H290" s="7" t="s">
        <v>157</v>
      </c>
      <c r="I290" s="6">
        <v>0</v>
      </c>
    </row>
    <row r="291" spans="1:9" x14ac:dyDescent="0.35">
      <c r="A291" s="6">
        <v>290</v>
      </c>
      <c r="B291" s="8">
        <v>45947</v>
      </c>
      <c r="C291" s="6">
        <v>2025</v>
      </c>
      <c r="D291" s="7" t="s">
        <v>173</v>
      </c>
      <c r="E291" s="6">
        <v>10</v>
      </c>
      <c r="F291" s="7" t="s">
        <v>174</v>
      </c>
      <c r="G291" s="6">
        <v>42</v>
      </c>
      <c r="H291" s="7" t="s">
        <v>158</v>
      </c>
      <c r="I291" s="6">
        <v>0</v>
      </c>
    </row>
    <row r="292" spans="1:9" x14ac:dyDescent="0.35">
      <c r="A292" s="6">
        <v>291</v>
      </c>
      <c r="B292" s="8">
        <v>45948</v>
      </c>
      <c r="C292" s="6">
        <v>2025</v>
      </c>
      <c r="D292" s="7" t="s">
        <v>173</v>
      </c>
      <c r="E292" s="6">
        <v>10</v>
      </c>
      <c r="F292" s="7" t="s">
        <v>174</v>
      </c>
      <c r="G292" s="6">
        <v>42</v>
      </c>
      <c r="H292" s="7" t="s">
        <v>159</v>
      </c>
      <c r="I292" s="6">
        <v>1</v>
      </c>
    </row>
    <row r="293" spans="1:9" x14ac:dyDescent="0.35">
      <c r="A293" s="6">
        <v>292</v>
      </c>
      <c r="B293" s="8">
        <v>45949</v>
      </c>
      <c r="C293" s="6">
        <v>2025</v>
      </c>
      <c r="D293" s="7" t="s">
        <v>173</v>
      </c>
      <c r="E293" s="6">
        <v>10</v>
      </c>
      <c r="F293" s="7" t="s">
        <v>174</v>
      </c>
      <c r="G293" s="6">
        <v>42</v>
      </c>
      <c r="H293" s="7" t="s">
        <v>160</v>
      </c>
      <c r="I293" s="6">
        <v>1</v>
      </c>
    </row>
    <row r="294" spans="1:9" x14ac:dyDescent="0.35">
      <c r="A294" s="6">
        <v>293</v>
      </c>
      <c r="B294" s="8">
        <v>45950</v>
      </c>
      <c r="C294" s="6">
        <v>2025</v>
      </c>
      <c r="D294" s="7" t="s">
        <v>173</v>
      </c>
      <c r="E294" s="6">
        <v>10</v>
      </c>
      <c r="F294" s="7" t="s">
        <v>174</v>
      </c>
      <c r="G294" s="6">
        <v>43</v>
      </c>
      <c r="H294" s="7" t="s">
        <v>161</v>
      </c>
      <c r="I294" s="6">
        <v>0</v>
      </c>
    </row>
    <row r="295" spans="1:9" x14ac:dyDescent="0.35">
      <c r="A295" s="6">
        <v>294</v>
      </c>
      <c r="B295" s="8">
        <v>45951</v>
      </c>
      <c r="C295" s="6">
        <v>2025</v>
      </c>
      <c r="D295" s="7" t="s">
        <v>173</v>
      </c>
      <c r="E295" s="6">
        <v>10</v>
      </c>
      <c r="F295" s="7" t="s">
        <v>174</v>
      </c>
      <c r="G295" s="6">
        <v>43</v>
      </c>
      <c r="H295" s="7" t="s">
        <v>162</v>
      </c>
      <c r="I295" s="6">
        <v>0</v>
      </c>
    </row>
    <row r="296" spans="1:9" x14ac:dyDescent="0.35">
      <c r="A296" s="6">
        <v>295</v>
      </c>
      <c r="B296" s="8">
        <v>45952</v>
      </c>
      <c r="C296" s="6">
        <v>2025</v>
      </c>
      <c r="D296" s="7" t="s">
        <v>173</v>
      </c>
      <c r="E296" s="6">
        <v>10</v>
      </c>
      <c r="F296" s="7" t="s">
        <v>174</v>
      </c>
      <c r="G296" s="6">
        <v>43</v>
      </c>
      <c r="H296" s="7" t="s">
        <v>156</v>
      </c>
      <c r="I296" s="6">
        <v>0</v>
      </c>
    </row>
    <row r="297" spans="1:9" x14ac:dyDescent="0.35">
      <c r="A297" s="6">
        <v>296</v>
      </c>
      <c r="B297" s="8">
        <v>45953</v>
      </c>
      <c r="C297" s="6">
        <v>2025</v>
      </c>
      <c r="D297" s="7" t="s">
        <v>173</v>
      </c>
      <c r="E297" s="6">
        <v>10</v>
      </c>
      <c r="F297" s="7" t="s">
        <v>174</v>
      </c>
      <c r="G297" s="6">
        <v>43</v>
      </c>
      <c r="H297" s="7" t="s">
        <v>157</v>
      </c>
      <c r="I297" s="6">
        <v>0</v>
      </c>
    </row>
    <row r="298" spans="1:9" x14ac:dyDescent="0.35">
      <c r="A298" s="6">
        <v>297</v>
      </c>
      <c r="B298" s="8">
        <v>45954</v>
      </c>
      <c r="C298" s="6">
        <v>2025</v>
      </c>
      <c r="D298" s="7" t="s">
        <v>173</v>
      </c>
      <c r="E298" s="6">
        <v>10</v>
      </c>
      <c r="F298" s="7" t="s">
        <v>174</v>
      </c>
      <c r="G298" s="6">
        <v>43</v>
      </c>
      <c r="H298" s="7" t="s">
        <v>158</v>
      </c>
      <c r="I298" s="6">
        <v>0</v>
      </c>
    </row>
    <row r="299" spans="1:9" x14ac:dyDescent="0.35">
      <c r="A299" s="6">
        <v>298</v>
      </c>
      <c r="B299" s="8">
        <v>45955</v>
      </c>
      <c r="C299" s="6">
        <v>2025</v>
      </c>
      <c r="D299" s="7" t="s">
        <v>173</v>
      </c>
      <c r="E299" s="6">
        <v>10</v>
      </c>
      <c r="F299" s="7" t="s">
        <v>174</v>
      </c>
      <c r="G299" s="6">
        <v>43</v>
      </c>
      <c r="H299" s="7" t="s">
        <v>159</v>
      </c>
      <c r="I299" s="6">
        <v>1</v>
      </c>
    </row>
    <row r="300" spans="1:9" x14ac:dyDescent="0.35">
      <c r="A300" s="6">
        <v>299</v>
      </c>
      <c r="B300" s="8">
        <v>45956</v>
      </c>
      <c r="C300" s="6">
        <v>2025</v>
      </c>
      <c r="D300" s="7" t="s">
        <v>173</v>
      </c>
      <c r="E300" s="6">
        <v>10</v>
      </c>
      <c r="F300" s="7" t="s">
        <v>174</v>
      </c>
      <c r="G300" s="6">
        <v>43</v>
      </c>
      <c r="H300" s="7" t="s">
        <v>160</v>
      </c>
      <c r="I300" s="6">
        <v>1</v>
      </c>
    </row>
    <row r="301" spans="1:9" x14ac:dyDescent="0.35">
      <c r="A301" s="6">
        <v>300</v>
      </c>
      <c r="B301" s="8">
        <v>45957</v>
      </c>
      <c r="C301" s="6">
        <v>2025</v>
      </c>
      <c r="D301" s="7" t="s">
        <v>173</v>
      </c>
      <c r="E301" s="6">
        <v>10</v>
      </c>
      <c r="F301" s="7" t="s">
        <v>174</v>
      </c>
      <c r="G301" s="6">
        <v>44</v>
      </c>
      <c r="H301" s="7" t="s">
        <v>161</v>
      </c>
      <c r="I301" s="6">
        <v>0</v>
      </c>
    </row>
    <row r="302" spans="1:9" x14ac:dyDescent="0.35">
      <c r="A302" s="6">
        <v>301</v>
      </c>
      <c r="B302" s="8">
        <v>45958</v>
      </c>
      <c r="C302" s="6">
        <v>2025</v>
      </c>
      <c r="D302" s="7" t="s">
        <v>173</v>
      </c>
      <c r="E302" s="6">
        <v>10</v>
      </c>
      <c r="F302" s="7" t="s">
        <v>174</v>
      </c>
      <c r="G302" s="6">
        <v>44</v>
      </c>
      <c r="H302" s="7" t="s">
        <v>162</v>
      </c>
      <c r="I302" s="6">
        <v>0</v>
      </c>
    </row>
    <row r="303" spans="1:9" x14ac:dyDescent="0.35">
      <c r="A303" s="6">
        <v>302</v>
      </c>
      <c r="B303" s="8">
        <v>45959</v>
      </c>
      <c r="C303" s="6">
        <v>2025</v>
      </c>
      <c r="D303" s="7" t="s">
        <v>173</v>
      </c>
      <c r="E303" s="6">
        <v>10</v>
      </c>
      <c r="F303" s="7" t="s">
        <v>174</v>
      </c>
      <c r="G303" s="6">
        <v>44</v>
      </c>
      <c r="H303" s="7" t="s">
        <v>156</v>
      </c>
      <c r="I303" s="6">
        <v>0</v>
      </c>
    </row>
    <row r="304" spans="1:9" x14ac:dyDescent="0.35">
      <c r="A304" s="6">
        <v>303</v>
      </c>
      <c r="B304" s="8">
        <v>45960</v>
      </c>
      <c r="C304" s="6">
        <v>2025</v>
      </c>
      <c r="D304" s="7" t="s">
        <v>173</v>
      </c>
      <c r="E304" s="6">
        <v>10</v>
      </c>
      <c r="F304" s="7" t="s">
        <v>174</v>
      </c>
      <c r="G304" s="6">
        <v>44</v>
      </c>
      <c r="H304" s="7" t="s">
        <v>157</v>
      </c>
      <c r="I304" s="6">
        <v>0</v>
      </c>
    </row>
    <row r="305" spans="1:9" x14ac:dyDescent="0.35">
      <c r="A305" s="6">
        <v>304</v>
      </c>
      <c r="B305" s="8">
        <v>45961</v>
      </c>
      <c r="C305" s="6">
        <v>2025</v>
      </c>
      <c r="D305" s="7" t="s">
        <v>173</v>
      </c>
      <c r="E305" s="6">
        <v>10</v>
      </c>
      <c r="F305" s="7" t="s">
        <v>174</v>
      </c>
      <c r="G305" s="6">
        <v>44</v>
      </c>
      <c r="H305" s="7" t="s">
        <v>158</v>
      </c>
      <c r="I305" s="6">
        <v>0</v>
      </c>
    </row>
    <row r="306" spans="1:9" x14ac:dyDescent="0.35">
      <c r="A306" s="6">
        <v>305</v>
      </c>
      <c r="B306" s="8">
        <v>45962</v>
      </c>
      <c r="C306" s="6">
        <v>2025</v>
      </c>
      <c r="D306" s="7" t="s">
        <v>173</v>
      </c>
      <c r="E306" s="6">
        <v>11</v>
      </c>
      <c r="F306" s="7" t="s">
        <v>175</v>
      </c>
      <c r="G306" s="6">
        <v>44</v>
      </c>
      <c r="H306" s="7" t="s">
        <v>159</v>
      </c>
      <c r="I306" s="6">
        <v>1</v>
      </c>
    </row>
    <row r="307" spans="1:9" x14ac:dyDescent="0.35">
      <c r="A307" s="6">
        <v>306</v>
      </c>
      <c r="B307" s="8">
        <v>45963</v>
      </c>
      <c r="C307" s="6">
        <v>2025</v>
      </c>
      <c r="D307" s="7" t="s">
        <v>173</v>
      </c>
      <c r="E307" s="6">
        <v>11</v>
      </c>
      <c r="F307" s="7" t="s">
        <v>175</v>
      </c>
      <c r="G307" s="6">
        <v>44</v>
      </c>
      <c r="H307" s="7" t="s">
        <v>160</v>
      </c>
      <c r="I307" s="6">
        <v>1</v>
      </c>
    </row>
    <row r="308" spans="1:9" x14ac:dyDescent="0.35">
      <c r="A308" s="6">
        <v>307</v>
      </c>
      <c r="B308" s="8">
        <v>45964</v>
      </c>
      <c r="C308" s="6">
        <v>2025</v>
      </c>
      <c r="D308" s="7" t="s">
        <v>173</v>
      </c>
      <c r="E308" s="6">
        <v>11</v>
      </c>
      <c r="F308" s="7" t="s">
        <v>175</v>
      </c>
      <c r="G308" s="6">
        <v>45</v>
      </c>
      <c r="H308" s="7" t="s">
        <v>161</v>
      </c>
      <c r="I308" s="6">
        <v>0</v>
      </c>
    </row>
    <row r="309" spans="1:9" x14ac:dyDescent="0.35">
      <c r="A309" s="6">
        <v>308</v>
      </c>
      <c r="B309" s="8">
        <v>45965</v>
      </c>
      <c r="C309" s="6">
        <v>2025</v>
      </c>
      <c r="D309" s="7" t="s">
        <v>173</v>
      </c>
      <c r="E309" s="6">
        <v>11</v>
      </c>
      <c r="F309" s="7" t="s">
        <v>175</v>
      </c>
      <c r="G309" s="6">
        <v>45</v>
      </c>
      <c r="H309" s="7" t="s">
        <v>162</v>
      </c>
      <c r="I309" s="6">
        <v>0</v>
      </c>
    </row>
    <row r="310" spans="1:9" x14ac:dyDescent="0.35">
      <c r="A310" s="6">
        <v>309</v>
      </c>
      <c r="B310" s="8">
        <v>45966</v>
      </c>
      <c r="C310" s="6">
        <v>2025</v>
      </c>
      <c r="D310" s="7" t="s">
        <v>173</v>
      </c>
      <c r="E310" s="6">
        <v>11</v>
      </c>
      <c r="F310" s="7" t="s">
        <v>175</v>
      </c>
      <c r="G310" s="6">
        <v>45</v>
      </c>
      <c r="H310" s="7" t="s">
        <v>156</v>
      </c>
      <c r="I310" s="6">
        <v>0</v>
      </c>
    </row>
    <row r="311" spans="1:9" x14ac:dyDescent="0.35">
      <c r="A311" s="6">
        <v>310</v>
      </c>
      <c r="B311" s="8">
        <v>45967</v>
      </c>
      <c r="C311" s="6">
        <v>2025</v>
      </c>
      <c r="D311" s="7" t="s">
        <v>173</v>
      </c>
      <c r="E311" s="6">
        <v>11</v>
      </c>
      <c r="F311" s="7" t="s">
        <v>175</v>
      </c>
      <c r="G311" s="6">
        <v>45</v>
      </c>
      <c r="H311" s="7" t="s">
        <v>157</v>
      </c>
      <c r="I311" s="6">
        <v>0</v>
      </c>
    </row>
    <row r="312" spans="1:9" x14ac:dyDescent="0.35">
      <c r="A312" s="6">
        <v>311</v>
      </c>
      <c r="B312" s="8">
        <v>45968</v>
      </c>
      <c r="C312" s="6">
        <v>2025</v>
      </c>
      <c r="D312" s="7" t="s">
        <v>173</v>
      </c>
      <c r="E312" s="6">
        <v>11</v>
      </c>
      <c r="F312" s="7" t="s">
        <v>175</v>
      </c>
      <c r="G312" s="6">
        <v>45</v>
      </c>
      <c r="H312" s="7" t="s">
        <v>158</v>
      </c>
      <c r="I312" s="6">
        <v>0</v>
      </c>
    </row>
    <row r="313" spans="1:9" x14ac:dyDescent="0.35">
      <c r="A313" s="6">
        <v>312</v>
      </c>
      <c r="B313" s="8">
        <v>45969</v>
      </c>
      <c r="C313" s="6">
        <v>2025</v>
      </c>
      <c r="D313" s="7" t="s">
        <v>173</v>
      </c>
      <c r="E313" s="6">
        <v>11</v>
      </c>
      <c r="F313" s="7" t="s">
        <v>175</v>
      </c>
      <c r="G313" s="6">
        <v>45</v>
      </c>
      <c r="H313" s="7" t="s">
        <v>159</v>
      </c>
      <c r="I313" s="6">
        <v>1</v>
      </c>
    </row>
    <row r="314" spans="1:9" x14ac:dyDescent="0.35">
      <c r="A314" s="6">
        <v>313</v>
      </c>
      <c r="B314" s="8">
        <v>45970</v>
      </c>
      <c r="C314" s="6">
        <v>2025</v>
      </c>
      <c r="D314" s="7" t="s">
        <v>173</v>
      </c>
      <c r="E314" s="6">
        <v>11</v>
      </c>
      <c r="F314" s="7" t="s">
        <v>175</v>
      </c>
      <c r="G314" s="6">
        <v>45</v>
      </c>
      <c r="H314" s="7" t="s">
        <v>160</v>
      </c>
      <c r="I314" s="6">
        <v>1</v>
      </c>
    </row>
    <row r="315" spans="1:9" x14ac:dyDescent="0.35">
      <c r="A315" s="6">
        <v>314</v>
      </c>
      <c r="B315" s="8">
        <v>45971</v>
      </c>
      <c r="C315" s="6">
        <v>2025</v>
      </c>
      <c r="D315" s="7" t="s">
        <v>173</v>
      </c>
      <c r="E315" s="6">
        <v>11</v>
      </c>
      <c r="F315" s="7" t="s">
        <v>175</v>
      </c>
      <c r="G315" s="6">
        <v>46</v>
      </c>
      <c r="H315" s="7" t="s">
        <v>161</v>
      </c>
      <c r="I315" s="6">
        <v>0</v>
      </c>
    </row>
    <row r="316" spans="1:9" x14ac:dyDescent="0.35">
      <c r="A316" s="6">
        <v>315</v>
      </c>
      <c r="B316" s="8">
        <v>45972</v>
      </c>
      <c r="C316" s="6">
        <v>2025</v>
      </c>
      <c r="D316" s="7" t="s">
        <v>173</v>
      </c>
      <c r="E316" s="6">
        <v>11</v>
      </c>
      <c r="F316" s="7" t="s">
        <v>175</v>
      </c>
      <c r="G316" s="6">
        <v>46</v>
      </c>
      <c r="H316" s="7" t="s">
        <v>162</v>
      </c>
      <c r="I316" s="6">
        <v>0</v>
      </c>
    </row>
    <row r="317" spans="1:9" x14ac:dyDescent="0.35">
      <c r="A317" s="6">
        <v>316</v>
      </c>
      <c r="B317" s="8">
        <v>45973</v>
      </c>
      <c r="C317" s="6">
        <v>2025</v>
      </c>
      <c r="D317" s="7" t="s">
        <v>173</v>
      </c>
      <c r="E317" s="6">
        <v>11</v>
      </c>
      <c r="F317" s="7" t="s">
        <v>175</v>
      </c>
      <c r="G317" s="6">
        <v>46</v>
      </c>
      <c r="H317" s="7" t="s">
        <v>156</v>
      </c>
      <c r="I317" s="6">
        <v>0</v>
      </c>
    </row>
    <row r="318" spans="1:9" x14ac:dyDescent="0.35">
      <c r="A318" s="6">
        <v>317</v>
      </c>
      <c r="B318" s="8">
        <v>45974</v>
      </c>
      <c r="C318" s="6">
        <v>2025</v>
      </c>
      <c r="D318" s="7" t="s">
        <v>173</v>
      </c>
      <c r="E318" s="6">
        <v>11</v>
      </c>
      <c r="F318" s="7" t="s">
        <v>175</v>
      </c>
      <c r="G318" s="6">
        <v>46</v>
      </c>
      <c r="H318" s="7" t="s">
        <v>157</v>
      </c>
      <c r="I318" s="6">
        <v>0</v>
      </c>
    </row>
    <row r="319" spans="1:9" x14ac:dyDescent="0.35">
      <c r="A319" s="6">
        <v>318</v>
      </c>
      <c r="B319" s="8">
        <v>45975</v>
      </c>
      <c r="C319" s="6">
        <v>2025</v>
      </c>
      <c r="D319" s="7" t="s">
        <v>173</v>
      </c>
      <c r="E319" s="6">
        <v>11</v>
      </c>
      <c r="F319" s="7" t="s">
        <v>175</v>
      </c>
      <c r="G319" s="6">
        <v>46</v>
      </c>
      <c r="H319" s="7" t="s">
        <v>158</v>
      </c>
      <c r="I319" s="6">
        <v>0</v>
      </c>
    </row>
    <row r="320" spans="1:9" x14ac:dyDescent="0.35">
      <c r="A320" s="6">
        <v>319</v>
      </c>
      <c r="B320" s="8">
        <v>45976</v>
      </c>
      <c r="C320" s="6">
        <v>2025</v>
      </c>
      <c r="D320" s="7" t="s">
        <v>173</v>
      </c>
      <c r="E320" s="6">
        <v>11</v>
      </c>
      <c r="F320" s="7" t="s">
        <v>175</v>
      </c>
      <c r="G320" s="6">
        <v>46</v>
      </c>
      <c r="H320" s="7" t="s">
        <v>159</v>
      </c>
      <c r="I320" s="6">
        <v>1</v>
      </c>
    </row>
    <row r="321" spans="1:9" x14ac:dyDescent="0.35">
      <c r="A321" s="6">
        <v>320</v>
      </c>
      <c r="B321" s="8">
        <v>45977</v>
      </c>
      <c r="C321" s="6">
        <v>2025</v>
      </c>
      <c r="D321" s="7" t="s">
        <v>173</v>
      </c>
      <c r="E321" s="6">
        <v>11</v>
      </c>
      <c r="F321" s="7" t="s">
        <v>175</v>
      </c>
      <c r="G321" s="6">
        <v>46</v>
      </c>
      <c r="H321" s="7" t="s">
        <v>160</v>
      </c>
      <c r="I321" s="6">
        <v>1</v>
      </c>
    </row>
    <row r="322" spans="1:9" x14ac:dyDescent="0.35">
      <c r="A322" s="6">
        <v>321</v>
      </c>
      <c r="B322" s="8">
        <v>45978</v>
      </c>
      <c r="C322" s="6">
        <v>2025</v>
      </c>
      <c r="D322" s="7" t="s">
        <v>173</v>
      </c>
      <c r="E322" s="6">
        <v>11</v>
      </c>
      <c r="F322" s="7" t="s">
        <v>175</v>
      </c>
      <c r="G322" s="6">
        <v>47</v>
      </c>
      <c r="H322" s="7" t="s">
        <v>161</v>
      </c>
      <c r="I322" s="6">
        <v>0</v>
      </c>
    </row>
    <row r="323" spans="1:9" x14ac:dyDescent="0.35">
      <c r="A323" s="6">
        <v>322</v>
      </c>
      <c r="B323" s="8">
        <v>45979</v>
      </c>
      <c r="C323" s="6">
        <v>2025</v>
      </c>
      <c r="D323" s="7" t="s">
        <v>173</v>
      </c>
      <c r="E323" s="6">
        <v>11</v>
      </c>
      <c r="F323" s="7" t="s">
        <v>175</v>
      </c>
      <c r="G323" s="6">
        <v>47</v>
      </c>
      <c r="H323" s="7" t="s">
        <v>162</v>
      </c>
      <c r="I323" s="6">
        <v>0</v>
      </c>
    </row>
    <row r="324" spans="1:9" x14ac:dyDescent="0.35">
      <c r="A324" s="6">
        <v>323</v>
      </c>
      <c r="B324" s="8">
        <v>45980</v>
      </c>
      <c r="C324" s="6">
        <v>2025</v>
      </c>
      <c r="D324" s="7" t="s">
        <v>173</v>
      </c>
      <c r="E324" s="6">
        <v>11</v>
      </c>
      <c r="F324" s="7" t="s">
        <v>175</v>
      </c>
      <c r="G324" s="6">
        <v>47</v>
      </c>
      <c r="H324" s="7" t="s">
        <v>156</v>
      </c>
      <c r="I324" s="6">
        <v>0</v>
      </c>
    </row>
    <row r="325" spans="1:9" x14ac:dyDescent="0.35">
      <c r="A325" s="6">
        <v>324</v>
      </c>
      <c r="B325" s="8">
        <v>45981</v>
      </c>
      <c r="C325" s="6">
        <v>2025</v>
      </c>
      <c r="D325" s="7" t="s">
        <v>173</v>
      </c>
      <c r="E325" s="6">
        <v>11</v>
      </c>
      <c r="F325" s="7" t="s">
        <v>175</v>
      </c>
      <c r="G325" s="6">
        <v>47</v>
      </c>
      <c r="H325" s="7" t="s">
        <v>157</v>
      </c>
      <c r="I325" s="6">
        <v>0</v>
      </c>
    </row>
    <row r="326" spans="1:9" x14ac:dyDescent="0.35">
      <c r="A326" s="6">
        <v>325</v>
      </c>
      <c r="B326" s="8">
        <v>45982</v>
      </c>
      <c r="C326" s="6">
        <v>2025</v>
      </c>
      <c r="D326" s="7" t="s">
        <v>173</v>
      </c>
      <c r="E326" s="6">
        <v>11</v>
      </c>
      <c r="F326" s="7" t="s">
        <v>175</v>
      </c>
      <c r="G326" s="6">
        <v>47</v>
      </c>
      <c r="H326" s="7" t="s">
        <v>158</v>
      </c>
      <c r="I326" s="6">
        <v>0</v>
      </c>
    </row>
    <row r="327" spans="1:9" x14ac:dyDescent="0.35">
      <c r="A327" s="6">
        <v>326</v>
      </c>
      <c r="B327" s="8">
        <v>45983</v>
      </c>
      <c r="C327" s="6">
        <v>2025</v>
      </c>
      <c r="D327" s="7" t="s">
        <v>173</v>
      </c>
      <c r="E327" s="6">
        <v>11</v>
      </c>
      <c r="F327" s="7" t="s">
        <v>175</v>
      </c>
      <c r="G327" s="6">
        <v>47</v>
      </c>
      <c r="H327" s="7" t="s">
        <v>159</v>
      </c>
      <c r="I327" s="6">
        <v>1</v>
      </c>
    </row>
    <row r="328" spans="1:9" x14ac:dyDescent="0.35">
      <c r="A328" s="6">
        <v>327</v>
      </c>
      <c r="B328" s="8">
        <v>45984</v>
      </c>
      <c r="C328" s="6">
        <v>2025</v>
      </c>
      <c r="D328" s="7" t="s">
        <v>173</v>
      </c>
      <c r="E328" s="6">
        <v>11</v>
      </c>
      <c r="F328" s="7" t="s">
        <v>175</v>
      </c>
      <c r="G328" s="6">
        <v>47</v>
      </c>
      <c r="H328" s="7" t="s">
        <v>160</v>
      </c>
      <c r="I328" s="6">
        <v>1</v>
      </c>
    </row>
    <row r="329" spans="1:9" x14ac:dyDescent="0.35">
      <c r="A329" s="6">
        <v>328</v>
      </c>
      <c r="B329" s="8">
        <v>45985</v>
      </c>
      <c r="C329" s="6">
        <v>2025</v>
      </c>
      <c r="D329" s="7" t="s">
        <v>173</v>
      </c>
      <c r="E329" s="6">
        <v>11</v>
      </c>
      <c r="F329" s="7" t="s">
        <v>175</v>
      </c>
      <c r="G329" s="6">
        <v>48</v>
      </c>
      <c r="H329" s="7" t="s">
        <v>161</v>
      </c>
      <c r="I329" s="6">
        <v>0</v>
      </c>
    </row>
    <row r="330" spans="1:9" x14ac:dyDescent="0.35">
      <c r="A330" s="6">
        <v>329</v>
      </c>
      <c r="B330" s="8">
        <v>45986</v>
      </c>
      <c r="C330" s="6">
        <v>2025</v>
      </c>
      <c r="D330" s="7" t="s">
        <v>173</v>
      </c>
      <c r="E330" s="6">
        <v>11</v>
      </c>
      <c r="F330" s="7" t="s">
        <v>175</v>
      </c>
      <c r="G330" s="6">
        <v>48</v>
      </c>
      <c r="H330" s="7" t="s">
        <v>162</v>
      </c>
      <c r="I330" s="6">
        <v>0</v>
      </c>
    </row>
    <row r="331" spans="1:9" x14ac:dyDescent="0.35">
      <c r="A331" s="6">
        <v>330</v>
      </c>
      <c r="B331" s="8">
        <v>45987</v>
      </c>
      <c r="C331" s="6">
        <v>2025</v>
      </c>
      <c r="D331" s="7" t="s">
        <v>173</v>
      </c>
      <c r="E331" s="6">
        <v>11</v>
      </c>
      <c r="F331" s="7" t="s">
        <v>175</v>
      </c>
      <c r="G331" s="6">
        <v>48</v>
      </c>
      <c r="H331" s="7" t="s">
        <v>156</v>
      </c>
      <c r="I331" s="6">
        <v>0</v>
      </c>
    </row>
    <row r="332" spans="1:9" x14ac:dyDescent="0.35">
      <c r="A332" s="6">
        <v>331</v>
      </c>
      <c r="B332" s="8">
        <v>45988</v>
      </c>
      <c r="C332" s="6">
        <v>2025</v>
      </c>
      <c r="D332" s="7" t="s">
        <v>173</v>
      </c>
      <c r="E332" s="6">
        <v>11</v>
      </c>
      <c r="F332" s="7" t="s">
        <v>175</v>
      </c>
      <c r="G332" s="6">
        <v>48</v>
      </c>
      <c r="H332" s="7" t="s">
        <v>157</v>
      </c>
      <c r="I332" s="6">
        <v>0</v>
      </c>
    </row>
    <row r="333" spans="1:9" x14ac:dyDescent="0.35">
      <c r="A333" s="6">
        <v>332</v>
      </c>
      <c r="B333" s="8">
        <v>45989</v>
      </c>
      <c r="C333" s="6">
        <v>2025</v>
      </c>
      <c r="D333" s="7" t="s">
        <v>173</v>
      </c>
      <c r="E333" s="6">
        <v>11</v>
      </c>
      <c r="F333" s="7" t="s">
        <v>175</v>
      </c>
      <c r="G333" s="6">
        <v>48</v>
      </c>
      <c r="H333" s="7" t="s">
        <v>158</v>
      </c>
      <c r="I333" s="6">
        <v>0</v>
      </c>
    </row>
    <row r="334" spans="1:9" x14ac:dyDescent="0.35">
      <c r="A334" s="6">
        <v>333</v>
      </c>
      <c r="B334" s="8">
        <v>45990</v>
      </c>
      <c r="C334" s="6">
        <v>2025</v>
      </c>
      <c r="D334" s="7" t="s">
        <v>173</v>
      </c>
      <c r="E334" s="6">
        <v>11</v>
      </c>
      <c r="F334" s="7" t="s">
        <v>175</v>
      </c>
      <c r="G334" s="6">
        <v>48</v>
      </c>
      <c r="H334" s="7" t="s">
        <v>159</v>
      </c>
      <c r="I334" s="6">
        <v>1</v>
      </c>
    </row>
    <row r="335" spans="1:9" x14ac:dyDescent="0.35">
      <c r="A335" s="6">
        <v>334</v>
      </c>
      <c r="B335" s="8">
        <v>45991</v>
      </c>
      <c r="C335" s="6">
        <v>2025</v>
      </c>
      <c r="D335" s="7" t="s">
        <v>173</v>
      </c>
      <c r="E335" s="6">
        <v>11</v>
      </c>
      <c r="F335" s="7" t="s">
        <v>175</v>
      </c>
      <c r="G335" s="6">
        <v>48</v>
      </c>
      <c r="H335" s="7" t="s">
        <v>160</v>
      </c>
      <c r="I335" s="6">
        <v>1</v>
      </c>
    </row>
    <row r="336" spans="1:9" x14ac:dyDescent="0.35">
      <c r="A336" s="6">
        <v>335</v>
      </c>
      <c r="B336" s="8">
        <v>45992</v>
      </c>
      <c r="C336" s="6">
        <v>2025</v>
      </c>
      <c r="D336" s="7" t="s">
        <v>173</v>
      </c>
      <c r="E336" s="6">
        <v>12</v>
      </c>
      <c r="F336" s="7" t="s">
        <v>176</v>
      </c>
      <c r="G336" s="6">
        <v>49</v>
      </c>
      <c r="H336" s="7" t="s">
        <v>161</v>
      </c>
      <c r="I336" s="6">
        <v>0</v>
      </c>
    </row>
    <row r="337" spans="1:9" x14ac:dyDescent="0.35">
      <c r="A337" s="6">
        <v>336</v>
      </c>
      <c r="B337" s="8">
        <v>45993</v>
      </c>
      <c r="C337" s="6">
        <v>2025</v>
      </c>
      <c r="D337" s="7" t="s">
        <v>173</v>
      </c>
      <c r="E337" s="6">
        <v>12</v>
      </c>
      <c r="F337" s="7" t="s">
        <v>176</v>
      </c>
      <c r="G337" s="6">
        <v>49</v>
      </c>
      <c r="H337" s="7" t="s">
        <v>162</v>
      </c>
      <c r="I337" s="6">
        <v>0</v>
      </c>
    </row>
    <row r="338" spans="1:9" x14ac:dyDescent="0.35">
      <c r="A338" s="6">
        <v>337</v>
      </c>
      <c r="B338" s="8">
        <v>45994</v>
      </c>
      <c r="C338" s="6">
        <v>2025</v>
      </c>
      <c r="D338" s="7" t="s">
        <v>173</v>
      </c>
      <c r="E338" s="6">
        <v>12</v>
      </c>
      <c r="F338" s="7" t="s">
        <v>176</v>
      </c>
      <c r="G338" s="6">
        <v>49</v>
      </c>
      <c r="H338" s="7" t="s">
        <v>156</v>
      </c>
      <c r="I338" s="6">
        <v>0</v>
      </c>
    </row>
    <row r="339" spans="1:9" x14ac:dyDescent="0.35">
      <c r="A339" s="6">
        <v>338</v>
      </c>
      <c r="B339" s="8">
        <v>45995</v>
      </c>
      <c r="C339" s="6">
        <v>2025</v>
      </c>
      <c r="D339" s="7" t="s">
        <v>173</v>
      </c>
      <c r="E339" s="6">
        <v>12</v>
      </c>
      <c r="F339" s="7" t="s">
        <v>176</v>
      </c>
      <c r="G339" s="6">
        <v>49</v>
      </c>
      <c r="H339" s="7" t="s">
        <v>157</v>
      </c>
      <c r="I339" s="6">
        <v>0</v>
      </c>
    </row>
    <row r="340" spans="1:9" x14ac:dyDescent="0.35">
      <c r="A340" s="6">
        <v>339</v>
      </c>
      <c r="B340" s="8">
        <v>45996</v>
      </c>
      <c r="C340" s="6">
        <v>2025</v>
      </c>
      <c r="D340" s="7" t="s">
        <v>173</v>
      </c>
      <c r="E340" s="6">
        <v>12</v>
      </c>
      <c r="F340" s="7" t="s">
        <v>176</v>
      </c>
      <c r="G340" s="6">
        <v>49</v>
      </c>
      <c r="H340" s="7" t="s">
        <v>158</v>
      </c>
      <c r="I340" s="6">
        <v>0</v>
      </c>
    </row>
    <row r="341" spans="1:9" x14ac:dyDescent="0.35">
      <c r="A341" s="6">
        <v>340</v>
      </c>
      <c r="B341" s="8">
        <v>45997</v>
      </c>
      <c r="C341" s="6">
        <v>2025</v>
      </c>
      <c r="D341" s="7" t="s">
        <v>173</v>
      </c>
      <c r="E341" s="6">
        <v>12</v>
      </c>
      <c r="F341" s="7" t="s">
        <v>176</v>
      </c>
      <c r="G341" s="6">
        <v>49</v>
      </c>
      <c r="H341" s="7" t="s">
        <v>159</v>
      </c>
      <c r="I341" s="6">
        <v>1</v>
      </c>
    </row>
    <row r="342" spans="1:9" x14ac:dyDescent="0.35">
      <c r="A342" s="6">
        <v>341</v>
      </c>
      <c r="B342" s="8">
        <v>45998</v>
      </c>
      <c r="C342" s="6">
        <v>2025</v>
      </c>
      <c r="D342" s="7" t="s">
        <v>173</v>
      </c>
      <c r="E342" s="6">
        <v>12</v>
      </c>
      <c r="F342" s="7" t="s">
        <v>176</v>
      </c>
      <c r="G342" s="6">
        <v>49</v>
      </c>
      <c r="H342" s="7" t="s">
        <v>160</v>
      </c>
      <c r="I342" s="6">
        <v>1</v>
      </c>
    </row>
    <row r="343" spans="1:9" x14ac:dyDescent="0.35">
      <c r="A343" s="6">
        <v>342</v>
      </c>
      <c r="B343" s="8">
        <v>45999</v>
      </c>
      <c r="C343" s="6">
        <v>2025</v>
      </c>
      <c r="D343" s="7" t="s">
        <v>173</v>
      </c>
      <c r="E343" s="6">
        <v>12</v>
      </c>
      <c r="F343" s="7" t="s">
        <v>176</v>
      </c>
      <c r="G343" s="6">
        <v>50</v>
      </c>
      <c r="H343" s="7" t="s">
        <v>161</v>
      </c>
      <c r="I343" s="6">
        <v>0</v>
      </c>
    </row>
    <row r="344" spans="1:9" x14ac:dyDescent="0.35">
      <c r="A344" s="6">
        <v>343</v>
      </c>
      <c r="B344" s="8">
        <v>46000</v>
      </c>
      <c r="C344" s="6">
        <v>2025</v>
      </c>
      <c r="D344" s="7" t="s">
        <v>173</v>
      </c>
      <c r="E344" s="6">
        <v>12</v>
      </c>
      <c r="F344" s="7" t="s">
        <v>176</v>
      </c>
      <c r="G344" s="6">
        <v>50</v>
      </c>
      <c r="H344" s="7" t="s">
        <v>162</v>
      </c>
      <c r="I344" s="6">
        <v>0</v>
      </c>
    </row>
    <row r="345" spans="1:9" x14ac:dyDescent="0.35">
      <c r="A345" s="6">
        <v>344</v>
      </c>
      <c r="B345" s="8">
        <v>46001</v>
      </c>
      <c r="C345" s="6">
        <v>2025</v>
      </c>
      <c r="D345" s="7" t="s">
        <v>173</v>
      </c>
      <c r="E345" s="6">
        <v>12</v>
      </c>
      <c r="F345" s="7" t="s">
        <v>176</v>
      </c>
      <c r="G345" s="6">
        <v>50</v>
      </c>
      <c r="H345" s="7" t="s">
        <v>156</v>
      </c>
      <c r="I345" s="6">
        <v>0</v>
      </c>
    </row>
    <row r="346" spans="1:9" x14ac:dyDescent="0.35">
      <c r="A346" s="6">
        <v>345</v>
      </c>
      <c r="B346" s="8">
        <v>46002</v>
      </c>
      <c r="C346" s="6">
        <v>2025</v>
      </c>
      <c r="D346" s="7" t="s">
        <v>173</v>
      </c>
      <c r="E346" s="6">
        <v>12</v>
      </c>
      <c r="F346" s="7" t="s">
        <v>176</v>
      </c>
      <c r="G346" s="6">
        <v>50</v>
      </c>
      <c r="H346" s="7" t="s">
        <v>157</v>
      </c>
      <c r="I346" s="6">
        <v>0</v>
      </c>
    </row>
    <row r="347" spans="1:9" x14ac:dyDescent="0.35">
      <c r="A347" s="6">
        <v>346</v>
      </c>
      <c r="B347" s="8">
        <v>46003</v>
      </c>
      <c r="C347" s="6">
        <v>2025</v>
      </c>
      <c r="D347" s="7" t="s">
        <v>173</v>
      </c>
      <c r="E347" s="6">
        <v>12</v>
      </c>
      <c r="F347" s="7" t="s">
        <v>176</v>
      </c>
      <c r="G347" s="6">
        <v>50</v>
      </c>
      <c r="H347" s="7" t="s">
        <v>158</v>
      </c>
      <c r="I347" s="6">
        <v>0</v>
      </c>
    </row>
    <row r="348" spans="1:9" x14ac:dyDescent="0.35">
      <c r="A348" s="6">
        <v>347</v>
      </c>
      <c r="B348" s="8">
        <v>46004</v>
      </c>
      <c r="C348" s="6">
        <v>2025</v>
      </c>
      <c r="D348" s="7" t="s">
        <v>173</v>
      </c>
      <c r="E348" s="6">
        <v>12</v>
      </c>
      <c r="F348" s="7" t="s">
        <v>176</v>
      </c>
      <c r="G348" s="6">
        <v>50</v>
      </c>
      <c r="H348" s="7" t="s">
        <v>159</v>
      </c>
      <c r="I348" s="6">
        <v>1</v>
      </c>
    </row>
    <row r="349" spans="1:9" x14ac:dyDescent="0.35">
      <c r="A349" s="6">
        <v>348</v>
      </c>
      <c r="B349" s="8">
        <v>46005</v>
      </c>
      <c r="C349" s="6">
        <v>2025</v>
      </c>
      <c r="D349" s="7" t="s">
        <v>173</v>
      </c>
      <c r="E349" s="6">
        <v>12</v>
      </c>
      <c r="F349" s="7" t="s">
        <v>176</v>
      </c>
      <c r="G349" s="6">
        <v>50</v>
      </c>
      <c r="H349" s="7" t="s">
        <v>160</v>
      </c>
      <c r="I349" s="6">
        <v>1</v>
      </c>
    </row>
    <row r="350" spans="1:9" x14ac:dyDescent="0.35">
      <c r="A350" s="6">
        <v>349</v>
      </c>
      <c r="B350" s="8">
        <v>46006</v>
      </c>
      <c r="C350" s="6">
        <v>2025</v>
      </c>
      <c r="D350" s="7" t="s">
        <v>173</v>
      </c>
      <c r="E350" s="6">
        <v>12</v>
      </c>
      <c r="F350" s="7" t="s">
        <v>176</v>
      </c>
      <c r="G350" s="6">
        <v>51</v>
      </c>
      <c r="H350" s="7" t="s">
        <v>161</v>
      </c>
      <c r="I350" s="6">
        <v>0</v>
      </c>
    </row>
    <row r="351" spans="1:9" x14ac:dyDescent="0.35">
      <c r="A351" s="6">
        <v>350</v>
      </c>
      <c r="B351" s="8">
        <v>46007</v>
      </c>
      <c r="C351" s="6">
        <v>2025</v>
      </c>
      <c r="D351" s="7" t="s">
        <v>173</v>
      </c>
      <c r="E351" s="6">
        <v>12</v>
      </c>
      <c r="F351" s="7" t="s">
        <v>176</v>
      </c>
      <c r="G351" s="6">
        <v>51</v>
      </c>
      <c r="H351" s="7" t="s">
        <v>162</v>
      </c>
      <c r="I351" s="6">
        <v>0</v>
      </c>
    </row>
    <row r="352" spans="1:9" x14ac:dyDescent="0.35">
      <c r="A352" s="6">
        <v>351</v>
      </c>
      <c r="B352" s="8">
        <v>46008</v>
      </c>
      <c r="C352" s="6">
        <v>2025</v>
      </c>
      <c r="D352" s="7" t="s">
        <v>173</v>
      </c>
      <c r="E352" s="6">
        <v>12</v>
      </c>
      <c r="F352" s="7" t="s">
        <v>176</v>
      </c>
      <c r="G352" s="6">
        <v>51</v>
      </c>
      <c r="H352" s="7" t="s">
        <v>156</v>
      </c>
      <c r="I352" s="6">
        <v>0</v>
      </c>
    </row>
    <row r="353" spans="1:9" x14ac:dyDescent="0.35">
      <c r="A353" s="6">
        <v>352</v>
      </c>
      <c r="B353" s="8">
        <v>46009</v>
      </c>
      <c r="C353" s="6">
        <v>2025</v>
      </c>
      <c r="D353" s="7" t="s">
        <v>173</v>
      </c>
      <c r="E353" s="6">
        <v>12</v>
      </c>
      <c r="F353" s="7" t="s">
        <v>176</v>
      </c>
      <c r="G353" s="6">
        <v>51</v>
      </c>
      <c r="H353" s="7" t="s">
        <v>157</v>
      </c>
      <c r="I353" s="6">
        <v>0</v>
      </c>
    </row>
    <row r="354" spans="1:9" x14ac:dyDescent="0.35">
      <c r="A354" s="6">
        <v>353</v>
      </c>
      <c r="B354" s="8">
        <v>46010</v>
      </c>
      <c r="C354" s="6">
        <v>2025</v>
      </c>
      <c r="D354" s="7" t="s">
        <v>173</v>
      </c>
      <c r="E354" s="6">
        <v>12</v>
      </c>
      <c r="F354" s="7" t="s">
        <v>176</v>
      </c>
      <c r="G354" s="6">
        <v>51</v>
      </c>
      <c r="H354" s="7" t="s">
        <v>158</v>
      </c>
      <c r="I354" s="6">
        <v>0</v>
      </c>
    </row>
    <row r="355" spans="1:9" x14ac:dyDescent="0.35">
      <c r="A355" s="6">
        <v>354</v>
      </c>
      <c r="B355" s="8">
        <v>46011</v>
      </c>
      <c r="C355" s="6">
        <v>2025</v>
      </c>
      <c r="D355" s="7" t="s">
        <v>173</v>
      </c>
      <c r="E355" s="6">
        <v>12</v>
      </c>
      <c r="F355" s="7" t="s">
        <v>176</v>
      </c>
      <c r="G355" s="6">
        <v>51</v>
      </c>
      <c r="H355" s="7" t="s">
        <v>159</v>
      </c>
      <c r="I355" s="6">
        <v>1</v>
      </c>
    </row>
    <row r="356" spans="1:9" x14ac:dyDescent="0.35">
      <c r="A356" s="6">
        <v>355</v>
      </c>
      <c r="B356" s="8">
        <v>46012</v>
      </c>
      <c r="C356" s="6">
        <v>2025</v>
      </c>
      <c r="D356" s="7" t="s">
        <v>173</v>
      </c>
      <c r="E356" s="6">
        <v>12</v>
      </c>
      <c r="F356" s="7" t="s">
        <v>176</v>
      </c>
      <c r="G356" s="6">
        <v>51</v>
      </c>
      <c r="H356" s="7" t="s">
        <v>160</v>
      </c>
      <c r="I356" s="6">
        <v>1</v>
      </c>
    </row>
    <row r="357" spans="1:9" x14ac:dyDescent="0.35">
      <c r="A357" s="6">
        <v>356</v>
      </c>
      <c r="B357" s="8">
        <v>46013</v>
      </c>
      <c r="C357" s="6">
        <v>2025</v>
      </c>
      <c r="D357" s="7" t="s">
        <v>173</v>
      </c>
      <c r="E357" s="6">
        <v>12</v>
      </c>
      <c r="F357" s="7" t="s">
        <v>176</v>
      </c>
      <c r="G357" s="6">
        <v>52</v>
      </c>
      <c r="H357" s="7" t="s">
        <v>161</v>
      </c>
      <c r="I357" s="6">
        <v>0</v>
      </c>
    </row>
    <row r="358" spans="1:9" x14ac:dyDescent="0.35">
      <c r="A358" s="6">
        <v>357</v>
      </c>
      <c r="B358" s="8">
        <v>46014</v>
      </c>
      <c r="C358" s="6">
        <v>2025</v>
      </c>
      <c r="D358" s="7" t="s">
        <v>173</v>
      </c>
      <c r="E358" s="6">
        <v>12</v>
      </c>
      <c r="F358" s="7" t="s">
        <v>176</v>
      </c>
      <c r="G358" s="6">
        <v>52</v>
      </c>
      <c r="H358" s="7" t="s">
        <v>162</v>
      </c>
      <c r="I358" s="6">
        <v>0</v>
      </c>
    </row>
    <row r="359" spans="1:9" x14ac:dyDescent="0.35">
      <c r="A359" s="6">
        <v>358</v>
      </c>
      <c r="B359" s="8">
        <v>46015</v>
      </c>
      <c r="C359" s="6">
        <v>2025</v>
      </c>
      <c r="D359" s="7" t="s">
        <v>173</v>
      </c>
      <c r="E359" s="6">
        <v>12</v>
      </c>
      <c r="F359" s="7" t="s">
        <v>176</v>
      </c>
      <c r="G359" s="6">
        <v>52</v>
      </c>
      <c r="H359" s="7" t="s">
        <v>156</v>
      </c>
      <c r="I359" s="6">
        <v>0</v>
      </c>
    </row>
    <row r="360" spans="1:9" x14ac:dyDescent="0.35">
      <c r="A360" s="6">
        <v>359</v>
      </c>
      <c r="B360" s="8">
        <v>46016</v>
      </c>
      <c r="C360" s="6">
        <v>2025</v>
      </c>
      <c r="D360" s="7" t="s">
        <v>173</v>
      </c>
      <c r="E360" s="6">
        <v>12</v>
      </c>
      <c r="F360" s="7" t="s">
        <v>176</v>
      </c>
      <c r="G360" s="6">
        <v>52</v>
      </c>
      <c r="H360" s="7" t="s">
        <v>157</v>
      </c>
      <c r="I360" s="6">
        <v>0</v>
      </c>
    </row>
    <row r="361" spans="1:9" x14ac:dyDescent="0.35">
      <c r="A361" s="6">
        <v>360</v>
      </c>
      <c r="B361" s="8">
        <v>46017</v>
      </c>
      <c r="C361" s="6">
        <v>2025</v>
      </c>
      <c r="D361" s="7" t="s">
        <v>173</v>
      </c>
      <c r="E361" s="6">
        <v>12</v>
      </c>
      <c r="F361" s="7" t="s">
        <v>176</v>
      </c>
      <c r="G361" s="6">
        <v>52</v>
      </c>
      <c r="H361" s="7" t="s">
        <v>158</v>
      </c>
      <c r="I361" s="6">
        <v>0</v>
      </c>
    </row>
    <row r="362" spans="1:9" x14ac:dyDescent="0.35">
      <c r="A362" s="6">
        <v>361</v>
      </c>
      <c r="B362" s="8">
        <v>46018</v>
      </c>
      <c r="C362" s="6">
        <v>2025</v>
      </c>
      <c r="D362" s="7" t="s">
        <v>173</v>
      </c>
      <c r="E362" s="6">
        <v>12</v>
      </c>
      <c r="F362" s="7" t="s">
        <v>176</v>
      </c>
      <c r="G362" s="6">
        <v>52</v>
      </c>
      <c r="H362" s="7" t="s">
        <v>159</v>
      </c>
      <c r="I362" s="6">
        <v>1</v>
      </c>
    </row>
    <row r="363" spans="1:9" x14ac:dyDescent="0.35">
      <c r="A363" s="6">
        <v>362</v>
      </c>
      <c r="B363" s="8">
        <v>46019</v>
      </c>
      <c r="C363" s="6">
        <v>2025</v>
      </c>
      <c r="D363" s="7" t="s">
        <v>173</v>
      </c>
      <c r="E363" s="6">
        <v>12</v>
      </c>
      <c r="F363" s="7" t="s">
        <v>176</v>
      </c>
      <c r="G363" s="6">
        <v>52</v>
      </c>
      <c r="H363" s="7" t="s">
        <v>160</v>
      </c>
      <c r="I363" s="6">
        <v>1</v>
      </c>
    </row>
    <row r="364" spans="1:9" x14ac:dyDescent="0.35">
      <c r="A364" s="6">
        <v>363</v>
      </c>
      <c r="B364" s="8">
        <v>46020</v>
      </c>
      <c r="C364" s="6">
        <v>2025</v>
      </c>
      <c r="D364" s="7" t="s">
        <v>173</v>
      </c>
      <c r="E364" s="6">
        <v>12</v>
      </c>
      <c r="F364" s="7" t="s">
        <v>176</v>
      </c>
      <c r="G364" s="6">
        <v>53</v>
      </c>
      <c r="H364" s="7" t="s">
        <v>161</v>
      </c>
      <c r="I364" s="6">
        <v>0</v>
      </c>
    </row>
    <row r="365" spans="1:9" x14ac:dyDescent="0.35">
      <c r="A365" s="6">
        <v>364</v>
      </c>
      <c r="B365" s="8">
        <v>46021</v>
      </c>
      <c r="C365" s="6">
        <v>2025</v>
      </c>
      <c r="D365" s="7" t="s">
        <v>173</v>
      </c>
      <c r="E365" s="6">
        <v>12</v>
      </c>
      <c r="F365" s="7" t="s">
        <v>176</v>
      </c>
      <c r="G365" s="6">
        <v>53</v>
      </c>
      <c r="H365" s="7" t="s">
        <v>162</v>
      </c>
      <c r="I365" s="6">
        <v>0</v>
      </c>
    </row>
    <row r="366" spans="1:9" x14ac:dyDescent="0.35">
      <c r="A366" s="6">
        <v>365</v>
      </c>
      <c r="B366" s="8">
        <v>46022</v>
      </c>
      <c r="C366" s="6">
        <v>2025</v>
      </c>
      <c r="D366" s="7" t="s">
        <v>173</v>
      </c>
      <c r="E366" s="6">
        <v>12</v>
      </c>
      <c r="F366" s="7" t="s">
        <v>176</v>
      </c>
      <c r="G366" s="6">
        <v>53</v>
      </c>
      <c r="H366" s="7" t="s">
        <v>156</v>
      </c>
      <c r="I366" s="6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1"/>
  <sheetViews>
    <sheetView tabSelected="1" zoomScaleNormal="100" workbookViewId="0">
      <pane ySplit="1" topLeftCell="A953" activePane="bottomLeft" state="frozen"/>
      <selection pane="bottomLeft" activeCell="G989" sqref="G989"/>
    </sheetView>
  </sheetViews>
  <sheetFormatPr defaultColWidth="8.7265625" defaultRowHeight="14.5" x14ac:dyDescent="0.35"/>
  <cols>
    <col min="1" max="1" width="10" customWidth="1"/>
    <col min="2" max="2" width="14" customWidth="1"/>
    <col min="3" max="3" width="9" customWidth="1"/>
    <col min="4" max="4" width="10" customWidth="1"/>
    <col min="5" max="5" width="13" customWidth="1"/>
    <col min="6" max="6" width="9" customWidth="1"/>
    <col min="7" max="9" width="17" customWidth="1"/>
    <col min="10" max="10" width="16" customWidth="1"/>
    <col min="11" max="11" width="14" customWidth="1"/>
    <col min="12" max="12" width="18" customWidth="1"/>
    <col min="13" max="14" width="17" customWidth="1"/>
    <col min="15" max="15" width="13" customWidth="1"/>
    <col min="16" max="16" width="22" customWidth="1"/>
    <col min="17" max="17" width="20" customWidth="1"/>
    <col min="18" max="18" width="13" customWidth="1"/>
  </cols>
  <sheetData>
    <row r="1" spans="1:18" x14ac:dyDescent="0.35">
      <c r="A1" s="5" t="s">
        <v>177</v>
      </c>
      <c r="B1" s="5" t="s">
        <v>178</v>
      </c>
      <c r="C1" s="5" t="s">
        <v>27</v>
      </c>
      <c r="D1" s="5" t="s">
        <v>62</v>
      </c>
      <c r="E1" s="5" t="s">
        <v>90</v>
      </c>
      <c r="F1" s="5" t="s">
        <v>117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184</v>
      </c>
      <c r="M1" s="5" t="s">
        <v>185</v>
      </c>
      <c r="N1" s="5" t="s">
        <v>186</v>
      </c>
      <c r="O1" s="5" t="s">
        <v>187</v>
      </c>
      <c r="P1" s="5" t="s">
        <v>188</v>
      </c>
      <c r="Q1" s="5" t="s">
        <v>189</v>
      </c>
      <c r="R1" s="5" t="s">
        <v>190</v>
      </c>
    </row>
    <row r="2" spans="1:18" x14ac:dyDescent="0.35">
      <c r="A2" s="6">
        <v>1</v>
      </c>
      <c r="B2" s="7" t="s">
        <v>191</v>
      </c>
      <c r="C2" s="6">
        <v>12</v>
      </c>
      <c r="D2" s="6">
        <v>1</v>
      </c>
      <c r="E2" s="6">
        <v>13</v>
      </c>
      <c r="F2" s="6">
        <v>12</v>
      </c>
      <c r="G2" s="9">
        <v>45850.5327777778</v>
      </c>
      <c r="H2" s="9">
        <v>45850.6161111111</v>
      </c>
      <c r="I2" s="9">
        <v>45850.961944444498</v>
      </c>
      <c r="J2" s="9">
        <v>45850.982777777797</v>
      </c>
      <c r="K2" s="7" t="s">
        <v>192</v>
      </c>
      <c r="L2" s="10">
        <f t="shared" ref="L2:L65" si="0">IF(ISBLANK(H2),"",(H2-G2)*24)</f>
        <v>1.9999999991850927</v>
      </c>
      <c r="M2" s="10">
        <f t="shared" ref="M2:M65" si="1">IF(ISBLANK(I2),"",(I2-H2)*24)</f>
        <v>8.3000000015599653</v>
      </c>
      <c r="N2" s="10">
        <f t="shared" ref="N2:N65" si="2">IF(ISBLANK(J2),"",(J2-G2)*24)</f>
        <v>10.799999999930151</v>
      </c>
      <c r="O2" s="7" t="str">
        <f>IF(ISBLANK(I2),"N/A",IF(((I2-H2)*24)&gt;INDEX(Dim_ServiceType!$E$2:$E$16,MATCH(E2,Dim_ServiceType!$A$2:$A$16,0)),"Yes","No"))</f>
        <v>No</v>
      </c>
      <c r="P2" s="7" t="str">
        <f t="shared" ref="P2:P65" si="3">IF(ISBLANK(H2),"Open (Unassigned)",IF(ISBLANK(I2),"In Progress",IF(ISBLANK(J2),"Resolved (Pending Closure)","Closed")))</f>
        <v>Closed</v>
      </c>
      <c r="Q2" s="6">
        <v>4</v>
      </c>
      <c r="R2" s="7" t="s">
        <v>193</v>
      </c>
    </row>
    <row r="3" spans="1:18" x14ac:dyDescent="0.35">
      <c r="A3" s="6">
        <v>2</v>
      </c>
      <c r="B3" s="7" t="s">
        <v>194</v>
      </c>
      <c r="C3" s="6">
        <v>3</v>
      </c>
      <c r="D3" s="6">
        <v>14</v>
      </c>
      <c r="E3" s="6">
        <v>9</v>
      </c>
      <c r="F3" s="6">
        <v>9</v>
      </c>
      <c r="G3" s="9">
        <v>45870.257627314801</v>
      </c>
      <c r="H3" s="9">
        <v>45870.424293981501</v>
      </c>
      <c r="I3" s="9">
        <v>45872.070127314801</v>
      </c>
      <c r="J3" s="9">
        <v>45872.153460648202</v>
      </c>
      <c r="K3" s="7" t="s">
        <v>195</v>
      </c>
      <c r="L3" s="10">
        <f t="shared" si="0"/>
        <v>4.0000000008149073</v>
      </c>
      <c r="M3" s="10">
        <f t="shared" si="1"/>
        <v>39.499999999185093</v>
      </c>
      <c r="N3" s="10">
        <f t="shared" si="2"/>
        <v>45.500000001629815</v>
      </c>
      <c r="O3" s="7" t="str">
        <f>IF(ISBLANK(I3),"N/A",IF(((I3-H3)*24)&gt;INDEX(Dim_ServiceType!$E$2:$E$16,MATCH(E3,Dim_ServiceType!$A$2:$A$16,0)),"Yes","No"))</f>
        <v>No</v>
      </c>
      <c r="P3" s="7" t="str">
        <f t="shared" si="3"/>
        <v>Closed</v>
      </c>
      <c r="Q3" s="6">
        <v>2</v>
      </c>
      <c r="R3" s="7" t="s">
        <v>196</v>
      </c>
    </row>
    <row r="4" spans="1:18" x14ac:dyDescent="0.35">
      <c r="A4" s="6">
        <v>3</v>
      </c>
      <c r="B4" s="7" t="s">
        <v>197</v>
      </c>
      <c r="C4" s="6">
        <v>5</v>
      </c>
      <c r="D4" s="6">
        <v>4</v>
      </c>
      <c r="E4" s="6">
        <v>15</v>
      </c>
      <c r="F4" s="6">
        <v>8</v>
      </c>
      <c r="G4" s="9">
        <v>45913.034456018497</v>
      </c>
      <c r="H4" s="9">
        <v>45913.284456018497</v>
      </c>
      <c r="I4" s="9">
        <v>45913.909456018497</v>
      </c>
      <c r="J4" s="9">
        <v>45914.159456018497</v>
      </c>
      <c r="K4" s="7" t="s">
        <v>198</v>
      </c>
      <c r="L4" s="10">
        <f t="shared" si="0"/>
        <v>6</v>
      </c>
      <c r="M4" s="10">
        <f t="shared" si="1"/>
        <v>15</v>
      </c>
      <c r="N4" s="10">
        <f t="shared" si="2"/>
        <v>27</v>
      </c>
      <c r="O4" s="7" t="str">
        <f>IF(ISBLANK(I4),"N/A",IF(((I4-H4)*24)&gt;INDEX(Dim_ServiceType!$E$2:$E$16,MATCH(E4,Dim_ServiceType!$A$2:$A$16,0)),"Yes","No"))</f>
        <v>No</v>
      </c>
      <c r="P4" s="7" t="str">
        <f t="shared" si="3"/>
        <v>Closed</v>
      </c>
      <c r="Q4" s="6">
        <v>4</v>
      </c>
      <c r="R4" s="7" t="s">
        <v>196</v>
      </c>
    </row>
    <row r="5" spans="1:18" x14ac:dyDescent="0.35">
      <c r="A5" s="6">
        <v>4</v>
      </c>
      <c r="B5" s="7" t="s">
        <v>199</v>
      </c>
      <c r="C5" s="6">
        <v>13</v>
      </c>
      <c r="D5" s="6">
        <v>13</v>
      </c>
      <c r="E5" s="6">
        <v>14</v>
      </c>
      <c r="F5" s="6">
        <v>1</v>
      </c>
      <c r="G5" s="9">
        <v>45879.034826388903</v>
      </c>
      <c r="H5" s="9">
        <v>45879.201493055603</v>
      </c>
      <c r="I5" s="9">
        <v>45879.613993055602</v>
      </c>
      <c r="J5" s="9">
        <v>45879.780659722201</v>
      </c>
      <c r="K5" s="7" t="s">
        <v>200</v>
      </c>
      <c r="L5" s="10">
        <f t="shared" si="0"/>
        <v>4.0000000008149073</v>
      </c>
      <c r="M5" s="10">
        <f t="shared" si="1"/>
        <v>9.8999999999650754</v>
      </c>
      <c r="N5" s="10">
        <f t="shared" si="2"/>
        <v>17.899999999150168</v>
      </c>
      <c r="O5" s="7" t="str">
        <f>IF(ISBLANK(I5),"N/A",IF(((I5-H5)*24)&gt;INDEX(Dim_ServiceType!$E$2:$E$16,MATCH(E5,Dim_ServiceType!$A$2:$A$16,0)),"Yes","No"))</f>
        <v>Yes</v>
      </c>
      <c r="P5" s="7" t="str">
        <f t="shared" si="3"/>
        <v>Closed</v>
      </c>
      <c r="Q5" s="6">
        <v>5</v>
      </c>
      <c r="R5" s="7" t="s">
        <v>196</v>
      </c>
    </row>
    <row r="6" spans="1:18" x14ac:dyDescent="0.35">
      <c r="A6" s="6">
        <v>5</v>
      </c>
      <c r="B6" s="7" t="s">
        <v>201</v>
      </c>
      <c r="C6" s="6">
        <v>13</v>
      </c>
      <c r="D6" s="6">
        <v>5</v>
      </c>
      <c r="E6" s="6">
        <v>11</v>
      </c>
      <c r="F6" s="6">
        <v>15</v>
      </c>
      <c r="G6" s="9">
        <v>45707.687280092599</v>
      </c>
      <c r="H6" s="9">
        <v>45707.812280092599</v>
      </c>
      <c r="I6" s="9">
        <v>45708.362280092602</v>
      </c>
      <c r="J6" s="9">
        <v>45709.362280092602</v>
      </c>
      <c r="K6" s="7" t="s">
        <v>200</v>
      </c>
      <c r="L6" s="10">
        <f t="shared" si="0"/>
        <v>3</v>
      </c>
      <c r="M6" s="10">
        <f t="shared" si="1"/>
        <v>13.200000000069849</v>
      </c>
      <c r="N6" s="10">
        <f t="shared" si="2"/>
        <v>40.200000000069849</v>
      </c>
      <c r="O6" s="7" t="str">
        <f>IF(ISBLANK(I6),"N/A",IF(((I6-H6)*24)&gt;INDEX(Dim_ServiceType!$E$2:$E$16,MATCH(E6,Dim_ServiceType!$A$2:$A$16,0)),"Yes","No"))</f>
        <v>Yes</v>
      </c>
      <c r="P6" s="7" t="str">
        <f t="shared" si="3"/>
        <v>Closed</v>
      </c>
      <c r="Q6" s="6">
        <v>5</v>
      </c>
      <c r="R6" s="7" t="s">
        <v>196</v>
      </c>
    </row>
    <row r="7" spans="1:18" x14ac:dyDescent="0.35">
      <c r="A7" s="6">
        <v>6</v>
      </c>
      <c r="B7" s="7" t="s">
        <v>202</v>
      </c>
      <c r="C7" s="6">
        <v>8</v>
      </c>
      <c r="D7" s="6">
        <v>13</v>
      </c>
      <c r="E7" s="6">
        <v>7</v>
      </c>
      <c r="F7" s="6">
        <v>9</v>
      </c>
      <c r="G7" s="9">
        <v>45829.528831018499</v>
      </c>
      <c r="H7" s="9">
        <v>45829.695497685199</v>
      </c>
      <c r="I7" s="9">
        <v>45832.916331018503</v>
      </c>
      <c r="J7" s="9">
        <v>45832.957997685196</v>
      </c>
      <c r="K7" s="7" t="s">
        <v>198</v>
      </c>
      <c r="L7" s="10">
        <f t="shared" si="0"/>
        <v>4.0000000008149073</v>
      </c>
      <c r="M7" s="10">
        <f t="shared" si="1"/>
        <v>77.299999999289867</v>
      </c>
      <c r="N7" s="10">
        <f t="shared" si="2"/>
        <v>82.300000000745058</v>
      </c>
      <c r="O7" s="7" t="str">
        <f>IF(ISBLANK(I7),"N/A",IF(((I7-H7)*24)&gt;INDEX(Dim_ServiceType!$E$2:$E$16,MATCH(E7,Dim_ServiceType!$A$2:$A$16,0)),"Yes","No"))</f>
        <v>Yes</v>
      </c>
      <c r="P7" s="7" t="str">
        <f t="shared" si="3"/>
        <v>Closed</v>
      </c>
      <c r="Q7" s="6">
        <v>4</v>
      </c>
      <c r="R7" s="7" t="s">
        <v>196</v>
      </c>
    </row>
    <row r="8" spans="1:18" x14ac:dyDescent="0.35">
      <c r="A8" s="6">
        <v>7</v>
      </c>
      <c r="B8" s="7" t="s">
        <v>203</v>
      </c>
      <c r="C8" s="6">
        <v>10</v>
      </c>
      <c r="D8" s="6">
        <v>10</v>
      </c>
      <c r="E8" s="6">
        <v>14</v>
      </c>
      <c r="F8" s="6">
        <v>3</v>
      </c>
      <c r="G8" s="9">
        <v>45860.607812499999</v>
      </c>
      <c r="H8" s="9">
        <v>45860.774479166699</v>
      </c>
      <c r="I8" s="9">
        <v>45862.407812500001</v>
      </c>
      <c r="J8" s="9">
        <v>45862.491145833301</v>
      </c>
      <c r="K8" s="7" t="s">
        <v>195</v>
      </c>
      <c r="L8" s="10">
        <f t="shared" si="0"/>
        <v>4.0000000008149073</v>
      </c>
      <c r="M8" s="10">
        <f t="shared" si="1"/>
        <v>39.199999999254942</v>
      </c>
      <c r="N8" s="10">
        <f t="shared" si="2"/>
        <v>45.199999999254942</v>
      </c>
      <c r="O8" s="7" t="str">
        <f>IF(ISBLANK(I8),"N/A",IF(((I8-H8)*24)&gt;INDEX(Dim_ServiceType!$E$2:$E$16,MATCH(E8,Dim_ServiceType!$A$2:$A$16,0)),"Yes","No"))</f>
        <v>Yes</v>
      </c>
      <c r="P8" s="7" t="str">
        <f t="shared" si="3"/>
        <v>Closed</v>
      </c>
      <c r="Q8" s="6">
        <v>3</v>
      </c>
      <c r="R8" s="7" t="s">
        <v>193</v>
      </c>
    </row>
    <row r="9" spans="1:18" x14ac:dyDescent="0.35">
      <c r="A9" s="6">
        <v>8</v>
      </c>
      <c r="B9" s="7" t="s">
        <v>204</v>
      </c>
      <c r="C9" s="6">
        <v>13</v>
      </c>
      <c r="D9" s="6">
        <v>1</v>
      </c>
      <c r="E9" s="6">
        <v>6</v>
      </c>
      <c r="F9" s="6">
        <v>9</v>
      </c>
      <c r="G9" s="9">
        <v>45882.755949074097</v>
      </c>
      <c r="H9" s="9">
        <v>45883.505949074097</v>
      </c>
      <c r="I9" s="9">
        <v>45885.789282407401</v>
      </c>
      <c r="J9" s="9">
        <v>45886.039282407401</v>
      </c>
      <c r="K9" s="7" t="s">
        <v>192</v>
      </c>
      <c r="L9" s="10">
        <f t="shared" si="0"/>
        <v>18</v>
      </c>
      <c r="M9" s="10">
        <f t="shared" si="1"/>
        <v>54.799999999289867</v>
      </c>
      <c r="N9" s="10">
        <f t="shared" si="2"/>
        <v>78.799999999289867</v>
      </c>
      <c r="O9" s="7" t="str">
        <f>IF(ISBLANK(I9),"N/A",IF(((I9-H9)*24)&gt;INDEX(Dim_ServiceType!$E$2:$E$16,MATCH(E9,Dim_ServiceType!$A$2:$A$16,0)),"Yes","No"))</f>
        <v>Yes</v>
      </c>
      <c r="P9" s="7" t="str">
        <f t="shared" si="3"/>
        <v>Closed</v>
      </c>
      <c r="Q9" s="6">
        <v>3</v>
      </c>
      <c r="R9" s="7" t="s">
        <v>196</v>
      </c>
    </row>
    <row r="10" spans="1:18" x14ac:dyDescent="0.35">
      <c r="A10" s="6">
        <v>9</v>
      </c>
      <c r="B10" s="7" t="s">
        <v>205</v>
      </c>
      <c r="C10" s="6">
        <v>6</v>
      </c>
      <c r="D10" s="6">
        <v>8</v>
      </c>
      <c r="E10" s="6">
        <v>4</v>
      </c>
      <c r="F10" s="6">
        <v>8</v>
      </c>
      <c r="G10" s="9">
        <v>45682.479606481502</v>
      </c>
      <c r="H10" s="9">
        <v>45682.500439814801</v>
      </c>
      <c r="I10" s="9">
        <v>45683.108773148197</v>
      </c>
      <c r="J10" s="9">
        <v>45683.192106481503</v>
      </c>
      <c r="K10" s="7" t="s">
        <v>195</v>
      </c>
      <c r="L10" s="10">
        <f t="shared" si="0"/>
        <v>0.49999999918509275</v>
      </c>
      <c r="M10" s="10">
        <f t="shared" si="1"/>
        <v>14.600000001490116</v>
      </c>
      <c r="N10" s="10">
        <f t="shared" si="2"/>
        <v>17.100000000034925</v>
      </c>
      <c r="O10" s="7" t="str">
        <f>IF(ISBLANK(I10),"N/A",IF(((I10-H10)*24)&gt;INDEX(Dim_ServiceType!$E$2:$E$16,MATCH(E10,Dim_ServiceType!$A$2:$A$16,0)),"Yes","No"))</f>
        <v>No</v>
      </c>
      <c r="P10" s="7" t="str">
        <f t="shared" si="3"/>
        <v>Closed</v>
      </c>
      <c r="Q10" s="6">
        <v>4</v>
      </c>
      <c r="R10" s="7" t="s">
        <v>196</v>
      </c>
    </row>
    <row r="11" spans="1:18" x14ac:dyDescent="0.35">
      <c r="A11" s="6">
        <v>10</v>
      </c>
      <c r="B11" s="7" t="s">
        <v>206</v>
      </c>
      <c r="C11" s="6">
        <v>12</v>
      </c>
      <c r="D11" s="6">
        <v>13</v>
      </c>
      <c r="E11" s="6">
        <v>13</v>
      </c>
      <c r="F11" s="6">
        <v>5</v>
      </c>
      <c r="G11" s="9">
        <v>45933.015752314801</v>
      </c>
      <c r="H11" s="9">
        <v>45934.015752314801</v>
      </c>
      <c r="I11" s="9">
        <v>45934.965752314798</v>
      </c>
      <c r="J11" s="9">
        <v>45935.465752314798</v>
      </c>
      <c r="K11" s="7" t="s">
        <v>207</v>
      </c>
      <c r="L11" s="10">
        <f t="shared" si="0"/>
        <v>24</v>
      </c>
      <c r="M11" s="10">
        <f t="shared" si="1"/>
        <v>22.799999999930151</v>
      </c>
      <c r="N11" s="10">
        <f t="shared" si="2"/>
        <v>58.799999999930151</v>
      </c>
      <c r="O11" s="7" t="str">
        <f>IF(ISBLANK(I11),"N/A",IF(((I11-H11)*24)&gt;INDEX(Dim_ServiceType!$E$2:$E$16,MATCH(E11,Dim_ServiceType!$A$2:$A$16,0)),"Yes","No"))</f>
        <v>No</v>
      </c>
      <c r="P11" s="7" t="str">
        <f t="shared" si="3"/>
        <v>Closed</v>
      </c>
      <c r="Q11" s="6">
        <v>5</v>
      </c>
      <c r="R11" s="7" t="s">
        <v>196</v>
      </c>
    </row>
    <row r="12" spans="1:18" x14ac:dyDescent="0.35">
      <c r="A12" s="6">
        <v>11</v>
      </c>
      <c r="B12" s="7" t="s">
        <v>208</v>
      </c>
      <c r="C12" s="6">
        <v>7</v>
      </c>
      <c r="D12" s="6">
        <v>4</v>
      </c>
      <c r="E12" s="6">
        <v>7</v>
      </c>
      <c r="F12" s="6">
        <v>15</v>
      </c>
      <c r="G12" s="9">
        <v>45749.414097222201</v>
      </c>
      <c r="H12" s="9">
        <v>45749.914097222201</v>
      </c>
      <c r="I12" s="9">
        <v>45754.2599305556</v>
      </c>
      <c r="J12" s="9">
        <v>45754.426597222198</v>
      </c>
      <c r="K12" s="7" t="s">
        <v>192</v>
      </c>
      <c r="L12" s="10">
        <f t="shared" si="0"/>
        <v>12</v>
      </c>
      <c r="M12" s="10">
        <f t="shared" si="1"/>
        <v>104.30000000155997</v>
      </c>
      <c r="N12" s="10">
        <f t="shared" si="2"/>
        <v>120.29999999993015</v>
      </c>
      <c r="O12" s="7" t="str">
        <f>IF(ISBLANK(I12),"N/A",IF(((I12-H12)*24)&gt;INDEX(Dim_ServiceType!$E$2:$E$16,MATCH(E12,Dim_ServiceType!$A$2:$A$16,0)),"Yes","No"))</f>
        <v>Yes</v>
      </c>
      <c r="P12" s="7" t="str">
        <f t="shared" si="3"/>
        <v>Closed</v>
      </c>
      <c r="Q12" s="6">
        <v>3</v>
      </c>
      <c r="R12" s="7" t="s">
        <v>196</v>
      </c>
    </row>
    <row r="13" spans="1:18" x14ac:dyDescent="0.35">
      <c r="A13" s="6">
        <v>12</v>
      </c>
      <c r="B13" s="7" t="s">
        <v>209</v>
      </c>
      <c r="C13" s="6">
        <v>6</v>
      </c>
      <c r="D13" s="6">
        <v>10</v>
      </c>
      <c r="E13" s="6">
        <v>6</v>
      </c>
      <c r="F13" s="6">
        <v>7</v>
      </c>
      <c r="G13" s="9">
        <v>45899.631747685198</v>
      </c>
      <c r="H13" s="9">
        <v>45899.881747685198</v>
      </c>
      <c r="I13" s="9">
        <v>45900.498414351903</v>
      </c>
      <c r="J13" s="9">
        <v>45900.519247685203</v>
      </c>
      <c r="K13" s="7" t="s">
        <v>200</v>
      </c>
      <c r="L13" s="10">
        <f t="shared" si="0"/>
        <v>6</v>
      </c>
      <c r="M13" s="10">
        <f t="shared" si="1"/>
        <v>14.800000000919681</v>
      </c>
      <c r="N13" s="10">
        <f t="shared" si="2"/>
        <v>21.300000000104774</v>
      </c>
      <c r="O13" s="7" t="str">
        <f>IF(ISBLANK(I13),"N/A",IF(((I13-H13)*24)&gt;INDEX(Dim_ServiceType!$E$2:$E$16,MATCH(E13,Dim_ServiceType!$A$2:$A$16,0)),"Yes","No"))</f>
        <v>No</v>
      </c>
      <c r="P13" s="7" t="str">
        <f t="shared" si="3"/>
        <v>Closed</v>
      </c>
      <c r="Q13" s="6">
        <v>3</v>
      </c>
      <c r="R13" s="7" t="s">
        <v>193</v>
      </c>
    </row>
    <row r="14" spans="1:18" x14ac:dyDescent="0.35">
      <c r="A14" s="6">
        <v>13</v>
      </c>
      <c r="B14" s="7" t="s">
        <v>210</v>
      </c>
      <c r="C14" s="6">
        <v>10</v>
      </c>
      <c r="D14" s="6">
        <v>10</v>
      </c>
      <c r="E14" s="6">
        <v>14</v>
      </c>
      <c r="F14" s="6">
        <v>12</v>
      </c>
      <c r="G14" s="9">
        <v>45704.190763888902</v>
      </c>
      <c r="H14" s="9">
        <v>45704.524097222202</v>
      </c>
      <c r="I14" s="9">
        <v>45704.899097222202</v>
      </c>
      <c r="J14" s="9">
        <v>45705.899097222202</v>
      </c>
      <c r="K14" s="7" t="s">
        <v>207</v>
      </c>
      <c r="L14" s="10">
        <f t="shared" si="0"/>
        <v>7.9999999991850927</v>
      </c>
      <c r="M14" s="10">
        <f t="shared" si="1"/>
        <v>9</v>
      </c>
      <c r="N14" s="10">
        <f t="shared" si="2"/>
        <v>40.999999999185093</v>
      </c>
      <c r="O14" s="7" t="str">
        <f>IF(ISBLANK(I14),"N/A",IF(((I14-H14)*24)&gt;INDEX(Dim_ServiceType!$E$2:$E$16,MATCH(E14,Dim_ServiceType!$A$2:$A$16,0)),"Yes","No"))</f>
        <v>Yes</v>
      </c>
      <c r="P14" s="7" t="str">
        <f t="shared" si="3"/>
        <v>Closed</v>
      </c>
      <c r="Q14" s="6">
        <v>2</v>
      </c>
      <c r="R14" s="7" t="s">
        <v>196</v>
      </c>
    </row>
    <row r="15" spans="1:18" x14ac:dyDescent="0.35">
      <c r="A15" s="6">
        <v>14</v>
      </c>
      <c r="B15" s="7" t="s">
        <v>211</v>
      </c>
      <c r="C15" s="6">
        <v>12</v>
      </c>
      <c r="D15" s="6">
        <v>7</v>
      </c>
      <c r="E15" s="6">
        <v>8</v>
      </c>
      <c r="F15" s="6">
        <v>11</v>
      </c>
      <c r="G15" s="9">
        <v>45757.403773148202</v>
      </c>
      <c r="H15" s="9">
        <v>45758.403773148202</v>
      </c>
      <c r="I15" s="9">
        <v>45758.695439814801</v>
      </c>
      <c r="J15" s="9">
        <v>45759.695439814801</v>
      </c>
      <c r="K15" s="7" t="s">
        <v>207</v>
      </c>
      <c r="L15" s="10">
        <f t="shared" si="0"/>
        <v>24</v>
      </c>
      <c r="M15" s="10">
        <f t="shared" si="1"/>
        <v>6.9999999983701855</v>
      </c>
      <c r="N15" s="10">
        <f t="shared" si="2"/>
        <v>54.999999998370185</v>
      </c>
      <c r="O15" s="7" t="str">
        <f>IF(ISBLANK(I15),"N/A",IF(((I15-H15)*24)&gt;INDEX(Dim_ServiceType!$E$2:$E$16,MATCH(E15,Dim_ServiceType!$A$2:$A$16,0)),"Yes","No"))</f>
        <v>Yes</v>
      </c>
      <c r="P15" s="7" t="str">
        <f t="shared" si="3"/>
        <v>Closed</v>
      </c>
      <c r="Q15" s="6">
        <v>1</v>
      </c>
      <c r="R15" s="7" t="s">
        <v>196</v>
      </c>
    </row>
    <row r="16" spans="1:18" x14ac:dyDescent="0.35">
      <c r="A16" s="6">
        <v>15</v>
      </c>
      <c r="B16" s="7" t="s">
        <v>212</v>
      </c>
      <c r="C16" s="6">
        <v>14</v>
      </c>
      <c r="D16" s="6">
        <v>15</v>
      </c>
      <c r="E16" s="6">
        <v>9</v>
      </c>
      <c r="F16" s="6">
        <v>13</v>
      </c>
      <c r="G16" s="9">
        <v>45918.607175925899</v>
      </c>
      <c r="H16" s="9">
        <v>45919.107175925899</v>
      </c>
      <c r="I16" s="9">
        <v>45920.294675925899</v>
      </c>
      <c r="J16" s="9">
        <v>45920.794675925899</v>
      </c>
      <c r="K16" s="7" t="s">
        <v>207</v>
      </c>
      <c r="L16" s="10">
        <f t="shared" si="0"/>
        <v>12</v>
      </c>
      <c r="M16" s="10">
        <f t="shared" si="1"/>
        <v>28.5</v>
      </c>
      <c r="N16" s="10">
        <f t="shared" si="2"/>
        <v>52.5</v>
      </c>
      <c r="O16" s="7" t="str">
        <f>IF(ISBLANK(I16),"N/A",IF(((I16-H16)*24)&gt;INDEX(Dim_ServiceType!$E$2:$E$16,MATCH(E16,Dim_ServiceType!$A$2:$A$16,0)),"Yes","No"))</f>
        <v>No</v>
      </c>
      <c r="P16" s="7" t="str">
        <f t="shared" si="3"/>
        <v>Closed</v>
      </c>
      <c r="Q16" s="6">
        <v>3</v>
      </c>
      <c r="R16" s="7" t="s">
        <v>196</v>
      </c>
    </row>
    <row r="17" spans="1:18" x14ac:dyDescent="0.35">
      <c r="A17" s="6">
        <v>16</v>
      </c>
      <c r="B17" s="7" t="s">
        <v>213</v>
      </c>
      <c r="C17" s="6">
        <v>6</v>
      </c>
      <c r="D17" s="6">
        <v>8</v>
      </c>
      <c r="E17" s="6">
        <v>14</v>
      </c>
      <c r="F17" s="6">
        <v>9</v>
      </c>
      <c r="G17" s="9">
        <v>45895.462129629603</v>
      </c>
      <c r="H17" s="9">
        <v>45895.628796296303</v>
      </c>
      <c r="I17" s="9">
        <v>45895.962129629603</v>
      </c>
      <c r="J17" s="9">
        <v>45896.128796296303</v>
      </c>
      <c r="K17" s="7" t="s">
        <v>192</v>
      </c>
      <c r="L17" s="10">
        <f t="shared" si="0"/>
        <v>4.0000000008149073</v>
      </c>
      <c r="M17" s="10">
        <f t="shared" si="1"/>
        <v>7.9999999991850927</v>
      </c>
      <c r="N17" s="10">
        <f t="shared" si="2"/>
        <v>16.000000000814907</v>
      </c>
      <c r="O17" s="7" t="str">
        <f>IF(ISBLANK(I17),"N/A",IF(((I17-H17)*24)&gt;INDEX(Dim_ServiceType!$E$2:$E$16,MATCH(E17,Dim_ServiceType!$A$2:$A$16,0)),"Yes","No"))</f>
        <v>No</v>
      </c>
      <c r="P17" s="7" t="str">
        <f t="shared" si="3"/>
        <v>Closed</v>
      </c>
      <c r="Q17" s="6">
        <v>4</v>
      </c>
      <c r="R17" s="7" t="s">
        <v>196</v>
      </c>
    </row>
    <row r="18" spans="1:18" x14ac:dyDescent="0.35">
      <c r="A18" s="6">
        <v>17</v>
      </c>
      <c r="B18" s="7" t="s">
        <v>214</v>
      </c>
      <c r="C18" s="6">
        <v>3</v>
      </c>
      <c r="D18" s="6">
        <v>5</v>
      </c>
      <c r="E18" s="6">
        <v>9</v>
      </c>
      <c r="F18" s="6">
        <v>10</v>
      </c>
      <c r="G18" s="9">
        <v>45669.082951388897</v>
      </c>
      <c r="H18" s="9">
        <v>45669.416284722203</v>
      </c>
      <c r="I18" s="9">
        <v>45670.645451388897</v>
      </c>
      <c r="J18" s="9">
        <v>45670.895451388897</v>
      </c>
      <c r="K18" s="7" t="s">
        <v>200</v>
      </c>
      <c r="L18" s="10">
        <f t="shared" si="0"/>
        <v>7.9999999993597157</v>
      </c>
      <c r="M18" s="10">
        <f t="shared" si="1"/>
        <v>29.500000000640284</v>
      </c>
      <c r="N18" s="10">
        <f t="shared" si="2"/>
        <v>43.5</v>
      </c>
      <c r="O18" s="7" t="str">
        <f>IF(ISBLANK(I18),"N/A",IF(((I18-H18)*24)&gt;INDEX(Dim_ServiceType!$E$2:$E$16,MATCH(E18,Dim_ServiceType!$A$2:$A$16,0)),"Yes","No"))</f>
        <v>No</v>
      </c>
      <c r="P18" s="7" t="str">
        <f t="shared" si="3"/>
        <v>Closed</v>
      </c>
      <c r="Q18" s="6">
        <v>3</v>
      </c>
      <c r="R18" s="7" t="s">
        <v>196</v>
      </c>
    </row>
    <row r="19" spans="1:18" x14ac:dyDescent="0.35">
      <c r="A19" s="6">
        <v>18</v>
      </c>
      <c r="B19" s="7" t="s">
        <v>215</v>
      </c>
      <c r="C19" s="6">
        <v>10</v>
      </c>
      <c r="D19" s="6">
        <v>3</v>
      </c>
      <c r="E19" s="6">
        <v>8</v>
      </c>
      <c r="F19" s="6">
        <v>15</v>
      </c>
      <c r="G19" s="9">
        <v>45741.689398148199</v>
      </c>
      <c r="H19" s="9">
        <v>45742.189398148199</v>
      </c>
      <c r="I19" s="9">
        <v>45742.472731481503</v>
      </c>
      <c r="J19" s="9">
        <v>45742.493564814802</v>
      </c>
      <c r="K19" s="7" t="s">
        <v>207</v>
      </c>
      <c r="L19" s="10">
        <f t="shared" si="0"/>
        <v>12</v>
      </c>
      <c r="M19" s="10">
        <f t="shared" si="1"/>
        <v>6.7999999992898665</v>
      </c>
      <c r="N19" s="10">
        <f t="shared" si="2"/>
        <v>19.299999998474959</v>
      </c>
      <c r="O19" s="7" t="str">
        <f>IF(ISBLANK(I19),"N/A",IF(((I19-H19)*24)&gt;INDEX(Dim_ServiceType!$E$2:$E$16,MATCH(E19,Dim_ServiceType!$A$2:$A$16,0)),"Yes","No"))</f>
        <v>Yes</v>
      </c>
      <c r="P19" s="7" t="str">
        <f t="shared" si="3"/>
        <v>Closed</v>
      </c>
      <c r="Q19" s="6">
        <v>4</v>
      </c>
      <c r="R19" s="7" t="s">
        <v>196</v>
      </c>
    </row>
    <row r="20" spans="1:18" x14ac:dyDescent="0.35">
      <c r="A20" s="6">
        <v>19</v>
      </c>
      <c r="B20" s="7" t="s">
        <v>216</v>
      </c>
      <c r="C20" s="6">
        <v>14</v>
      </c>
      <c r="D20" s="6">
        <v>11</v>
      </c>
      <c r="E20" s="6">
        <v>13</v>
      </c>
      <c r="F20" s="6">
        <v>13</v>
      </c>
      <c r="G20" s="9">
        <v>45956.2504976852</v>
      </c>
      <c r="H20" s="9">
        <v>45956.2921643519</v>
      </c>
      <c r="I20" s="9">
        <v>45957.529664351903</v>
      </c>
      <c r="J20" s="9">
        <v>45958.529664351903</v>
      </c>
      <c r="K20" s="7" t="s">
        <v>192</v>
      </c>
      <c r="L20" s="10">
        <f t="shared" si="0"/>
        <v>1.0000000008149073</v>
      </c>
      <c r="M20" s="10">
        <f t="shared" si="1"/>
        <v>29.700000000069849</v>
      </c>
      <c r="N20" s="10">
        <f t="shared" si="2"/>
        <v>54.700000000884756</v>
      </c>
      <c r="O20" s="7" t="str">
        <f>IF(ISBLANK(I20),"N/A",IF(((I20-H20)*24)&gt;INDEX(Dim_ServiceType!$E$2:$E$16,MATCH(E20,Dim_ServiceType!$A$2:$A$16,0)),"Yes","No"))</f>
        <v>Yes</v>
      </c>
      <c r="P20" s="7" t="str">
        <f t="shared" si="3"/>
        <v>Closed</v>
      </c>
      <c r="Q20" s="6">
        <v>3</v>
      </c>
      <c r="R20" s="7" t="s">
        <v>196</v>
      </c>
    </row>
    <row r="21" spans="1:18" x14ac:dyDescent="0.35">
      <c r="A21" s="6">
        <v>20</v>
      </c>
      <c r="B21" s="7" t="s">
        <v>217</v>
      </c>
      <c r="C21" s="6">
        <v>9</v>
      </c>
      <c r="D21" s="6">
        <v>12</v>
      </c>
      <c r="E21" s="6">
        <v>4</v>
      </c>
      <c r="F21" s="6">
        <v>10</v>
      </c>
      <c r="G21" s="9">
        <v>45919.483495370398</v>
      </c>
      <c r="H21" s="9">
        <v>45919.733495370398</v>
      </c>
      <c r="I21" s="9">
        <v>45923.216828703698</v>
      </c>
      <c r="J21" s="9">
        <v>45923.237662036998</v>
      </c>
      <c r="K21" s="7" t="s">
        <v>195</v>
      </c>
      <c r="L21" s="10">
        <f t="shared" si="0"/>
        <v>6</v>
      </c>
      <c r="M21" s="10">
        <f t="shared" si="1"/>
        <v>83.599999999220017</v>
      </c>
      <c r="N21" s="10">
        <f t="shared" si="2"/>
        <v>90.09999999840511</v>
      </c>
      <c r="O21" s="7" t="str">
        <f>IF(ISBLANK(I21),"N/A",IF(((I21-H21)*24)&gt;INDEX(Dim_ServiceType!$E$2:$E$16,MATCH(E21,Dim_ServiceType!$A$2:$A$16,0)),"Yes","No"))</f>
        <v>Yes</v>
      </c>
      <c r="P21" s="7" t="str">
        <f t="shared" si="3"/>
        <v>Closed</v>
      </c>
      <c r="Q21" s="6">
        <v>5</v>
      </c>
      <c r="R21" s="7" t="s">
        <v>196</v>
      </c>
    </row>
    <row r="22" spans="1:18" x14ac:dyDescent="0.35">
      <c r="A22" s="6">
        <v>21</v>
      </c>
      <c r="B22" s="7" t="s">
        <v>218</v>
      </c>
      <c r="C22" s="6">
        <v>13</v>
      </c>
      <c r="D22" s="6">
        <v>8</v>
      </c>
      <c r="E22" s="6">
        <v>15</v>
      </c>
      <c r="F22" s="6">
        <v>9</v>
      </c>
      <c r="G22" s="9">
        <v>45976.283402777801</v>
      </c>
      <c r="H22" s="9">
        <v>45976.3667361111</v>
      </c>
      <c r="I22" s="9">
        <v>45977.091736111099</v>
      </c>
      <c r="J22" s="9">
        <v>45977.133402777799</v>
      </c>
      <c r="K22" s="7" t="s">
        <v>200</v>
      </c>
      <c r="L22" s="10">
        <f t="shared" si="0"/>
        <v>1.9999999991850927</v>
      </c>
      <c r="M22" s="10">
        <f t="shared" si="1"/>
        <v>17.399999999965075</v>
      </c>
      <c r="N22" s="10">
        <f t="shared" si="2"/>
        <v>20.399999999965075</v>
      </c>
      <c r="O22" s="7" t="str">
        <f>IF(ISBLANK(I22),"N/A",IF(((I22-H22)*24)&gt;INDEX(Dim_ServiceType!$E$2:$E$16,MATCH(E22,Dim_ServiceType!$A$2:$A$16,0)),"Yes","No"))</f>
        <v>No</v>
      </c>
      <c r="P22" s="7" t="str">
        <f t="shared" si="3"/>
        <v>Closed</v>
      </c>
      <c r="Q22" s="6">
        <v>4</v>
      </c>
      <c r="R22" s="7" t="s">
        <v>196</v>
      </c>
    </row>
    <row r="23" spans="1:18" x14ac:dyDescent="0.35">
      <c r="A23" s="6">
        <v>22</v>
      </c>
      <c r="B23" s="7" t="s">
        <v>219</v>
      </c>
      <c r="C23" s="6">
        <v>8</v>
      </c>
      <c r="D23" s="6">
        <v>1</v>
      </c>
      <c r="E23" s="6">
        <v>2</v>
      </c>
      <c r="F23" s="6">
        <v>12</v>
      </c>
      <c r="G23" s="9">
        <v>45788.460682870398</v>
      </c>
      <c r="H23" s="9">
        <v>45789.460682870398</v>
      </c>
      <c r="I23" s="9">
        <v>45789.7356828704</v>
      </c>
      <c r="J23" s="9">
        <v>45789.777349536998</v>
      </c>
      <c r="K23" s="7" t="s">
        <v>200</v>
      </c>
      <c r="L23" s="10">
        <f t="shared" si="0"/>
        <v>24</v>
      </c>
      <c r="M23" s="10">
        <f t="shared" si="1"/>
        <v>6.6000000000349246</v>
      </c>
      <c r="N23" s="10">
        <f t="shared" si="2"/>
        <v>31.59999999840511</v>
      </c>
      <c r="O23" s="7" t="str">
        <f>IF(ISBLANK(I23),"N/A",IF(((I23-H23)*24)&gt;INDEX(Dim_ServiceType!$E$2:$E$16,MATCH(E23,Dim_ServiceType!$A$2:$A$16,0)),"Yes","No"))</f>
        <v>Yes</v>
      </c>
      <c r="P23" s="7" t="str">
        <f t="shared" si="3"/>
        <v>Closed</v>
      </c>
      <c r="Q23" s="6">
        <v>4</v>
      </c>
      <c r="R23" s="7" t="s">
        <v>196</v>
      </c>
    </row>
    <row r="24" spans="1:18" x14ac:dyDescent="0.35">
      <c r="A24" s="6">
        <v>23</v>
      </c>
      <c r="B24" s="7" t="s">
        <v>220</v>
      </c>
      <c r="C24" s="6">
        <v>10</v>
      </c>
      <c r="D24" s="6">
        <v>4</v>
      </c>
      <c r="E24" s="6">
        <v>10</v>
      </c>
      <c r="F24" s="6">
        <v>12</v>
      </c>
      <c r="G24" s="9">
        <v>45841.272615740701</v>
      </c>
      <c r="H24" s="9">
        <v>45842.272615740701</v>
      </c>
      <c r="I24" s="9">
        <v>45842.476782407401</v>
      </c>
      <c r="J24" s="9">
        <v>45842.5601157407</v>
      </c>
      <c r="K24" s="7" t="s">
        <v>195</v>
      </c>
      <c r="L24" s="10">
        <f t="shared" si="0"/>
        <v>24</v>
      </c>
      <c r="M24" s="10">
        <f t="shared" si="1"/>
        <v>4.9000000007799827</v>
      </c>
      <c r="N24" s="10">
        <f t="shared" si="2"/>
        <v>30.899999999965075</v>
      </c>
      <c r="O24" s="7" t="str">
        <f>IF(ISBLANK(I24),"N/A",IF(((I24-H24)*24)&gt;INDEX(Dim_ServiceType!$E$2:$E$16,MATCH(E24,Dim_ServiceType!$A$2:$A$16,0)),"Yes","No"))</f>
        <v>No</v>
      </c>
      <c r="P24" s="7" t="str">
        <f t="shared" si="3"/>
        <v>Closed</v>
      </c>
      <c r="Q24" s="6">
        <v>4</v>
      </c>
      <c r="R24" s="7" t="s">
        <v>196</v>
      </c>
    </row>
    <row r="25" spans="1:18" x14ac:dyDescent="0.35">
      <c r="A25" s="6">
        <v>24</v>
      </c>
      <c r="B25" s="7" t="s">
        <v>221</v>
      </c>
      <c r="C25" s="6">
        <v>10</v>
      </c>
      <c r="D25" s="6">
        <v>3</v>
      </c>
      <c r="E25" s="6">
        <v>3</v>
      </c>
      <c r="F25" s="6">
        <v>9</v>
      </c>
      <c r="G25" s="9">
        <v>45763.856574074103</v>
      </c>
      <c r="H25" s="9">
        <v>45764.856574074103</v>
      </c>
      <c r="I25" s="9">
        <v>45765.198240740698</v>
      </c>
      <c r="J25" s="9">
        <v>45766.198240740698</v>
      </c>
      <c r="K25" s="7" t="s">
        <v>200</v>
      </c>
      <c r="L25" s="10">
        <f t="shared" si="0"/>
        <v>24</v>
      </c>
      <c r="M25" s="10">
        <f t="shared" si="1"/>
        <v>8.1999999982654117</v>
      </c>
      <c r="N25" s="10">
        <f t="shared" si="2"/>
        <v>56.199999998265412</v>
      </c>
      <c r="O25" s="7" t="str">
        <f>IF(ISBLANK(I25),"N/A",IF(((I25-H25)*24)&gt;INDEX(Dim_ServiceType!$E$2:$E$16,MATCH(E25,Dim_ServiceType!$A$2:$A$16,0)),"Yes","No"))</f>
        <v>Yes</v>
      </c>
      <c r="P25" s="7" t="str">
        <f t="shared" si="3"/>
        <v>Closed</v>
      </c>
      <c r="Q25" s="6">
        <v>3</v>
      </c>
      <c r="R25" s="7" t="s">
        <v>193</v>
      </c>
    </row>
    <row r="26" spans="1:18" x14ac:dyDescent="0.35">
      <c r="A26" s="6">
        <v>25</v>
      </c>
      <c r="B26" s="7" t="s">
        <v>222</v>
      </c>
      <c r="C26" s="6">
        <v>1</v>
      </c>
      <c r="D26" s="6">
        <v>1</v>
      </c>
      <c r="E26" s="6">
        <v>11</v>
      </c>
      <c r="F26" s="6">
        <v>14</v>
      </c>
      <c r="G26" s="9">
        <v>45783.710925925901</v>
      </c>
      <c r="H26" s="9">
        <v>45784.710925925901</v>
      </c>
      <c r="I26" s="9">
        <v>45785.106759259303</v>
      </c>
      <c r="J26" s="9">
        <v>45785.148425925901</v>
      </c>
      <c r="K26" s="7" t="s">
        <v>198</v>
      </c>
      <c r="L26" s="10">
        <f t="shared" si="0"/>
        <v>24</v>
      </c>
      <c r="M26" s="10">
        <f t="shared" si="1"/>
        <v>9.5000000016298145</v>
      </c>
      <c r="N26" s="10">
        <f t="shared" si="2"/>
        <v>34.5</v>
      </c>
      <c r="O26" s="7" t="str">
        <f>IF(ISBLANK(I26),"N/A",IF(((I26-H26)*24)&gt;INDEX(Dim_ServiceType!$E$2:$E$16,MATCH(E26,Dim_ServiceType!$A$2:$A$16,0)),"Yes","No"))</f>
        <v>No</v>
      </c>
      <c r="P26" s="7" t="str">
        <f t="shared" si="3"/>
        <v>Closed</v>
      </c>
      <c r="Q26" s="6">
        <v>2</v>
      </c>
      <c r="R26" s="7" t="s">
        <v>196</v>
      </c>
    </row>
    <row r="27" spans="1:18" x14ac:dyDescent="0.35">
      <c r="A27" s="6">
        <v>26</v>
      </c>
      <c r="B27" s="7" t="s">
        <v>223</v>
      </c>
      <c r="C27" s="6">
        <v>6</v>
      </c>
      <c r="D27" s="6">
        <v>7</v>
      </c>
      <c r="E27" s="6">
        <v>13</v>
      </c>
      <c r="F27" s="6">
        <v>12</v>
      </c>
      <c r="G27" s="9">
        <v>45975.778298611098</v>
      </c>
      <c r="H27" s="9">
        <v>45975.819965277798</v>
      </c>
      <c r="I27" s="9">
        <v>45976.465798611098</v>
      </c>
      <c r="J27" s="9">
        <v>45976.507465277798</v>
      </c>
      <c r="K27" s="7" t="s">
        <v>198</v>
      </c>
      <c r="L27" s="10">
        <f t="shared" si="0"/>
        <v>1.0000000008149073</v>
      </c>
      <c r="M27" s="10">
        <f t="shared" si="1"/>
        <v>15.499999999185093</v>
      </c>
      <c r="N27" s="10">
        <f t="shared" si="2"/>
        <v>17.500000000814907</v>
      </c>
      <c r="O27" s="7" t="str">
        <f>IF(ISBLANK(I27),"N/A",IF(((I27-H27)*24)&gt;INDEX(Dim_ServiceType!$E$2:$E$16,MATCH(E27,Dim_ServiceType!$A$2:$A$16,0)),"Yes","No"))</f>
        <v>No</v>
      </c>
      <c r="P27" s="7" t="str">
        <f t="shared" si="3"/>
        <v>Closed</v>
      </c>
      <c r="Q27" s="6">
        <v>5</v>
      </c>
      <c r="R27" s="7" t="s">
        <v>196</v>
      </c>
    </row>
    <row r="28" spans="1:18" x14ac:dyDescent="0.35">
      <c r="A28" s="6">
        <v>27</v>
      </c>
      <c r="B28" s="7" t="s">
        <v>224</v>
      </c>
      <c r="C28" s="6">
        <v>12</v>
      </c>
      <c r="D28" s="6">
        <v>12</v>
      </c>
      <c r="E28" s="6">
        <v>7</v>
      </c>
      <c r="F28" s="6">
        <v>5</v>
      </c>
      <c r="G28" s="9">
        <v>46002.214270833298</v>
      </c>
      <c r="H28" s="9"/>
      <c r="I28" s="9"/>
      <c r="J28" s="9"/>
      <c r="K28" s="7" t="s">
        <v>192</v>
      </c>
      <c r="L28" s="10" t="str">
        <f t="shared" si="0"/>
        <v/>
      </c>
      <c r="M28" s="10" t="str">
        <f t="shared" si="1"/>
        <v/>
      </c>
      <c r="N28" s="10" t="str">
        <f t="shared" si="2"/>
        <v/>
      </c>
      <c r="O28" s="7" t="str">
        <f>IF(ISBLANK(I28),"N/A",IF(((I28-H28)*24)&gt;INDEX(Dim_ServiceType!$E$2:$E$16,MATCH(E28,Dim_ServiceType!$A$2:$A$16,0)),"Yes","No"))</f>
        <v>N/A</v>
      </c>
      <c r="P28" s="7" t="str">
        <f t="shared" si="3"/>
        <v>Open (Unassigned)</v>
      </c>
      <c r="Q28" s="6"/>
      <c r="R28" s="7"/>
    </row>
    <row r="29" spans="1:18" x14ac:dyDescent="0.35">
      <c r="A29" s="6">
        <v>28</v>
      </c>
      <c r="B29" s="7" t="s">
        <v>225</v>
      </c>
      <c r="C29" s="6">
        <v>7</v>
      </c>
      <c r="D29" s="6">
        <v>13</v>
      </c>
      <c r="E29" s="6">
        <v>2</v>
      </c>
      <c r="F29" s="6">
        <v>2</v>
      </c>
      <c r="G29" s="9">
        <v>45872.684548611098</v>
      </c>
      <c r="H29" s="9">
        <v>45872.705381944397</v>
      </c>
      <c r="I29" s="9">
        <v>45873.026215277801</v>
      </c>
      <c r="J29" s="9">
        <v>45873.1928819444</v>
      </c>
      <c r="K29" s="7" t="s">
        <v>198</v>
      </c>
      <c r="L29" s="10">
        <f t="shared" si="0"/>
        <v>0.49999999918509275</v>
      </c>
      <c r="M29" s="10">
        <f t="shared" si="1"/>
        <v>7.7000000016996637</v>
      </c>
      <c r="N29" s="10">
        <f t="shared" si="2"/>
        <v>12.199999999254942</v>
      </c>
      <c r="O29" s="7" t="str">
        <f>IF(ISBLANK(I29),"N/A",IF(((I29-H29)*24)&gt;INDEX(Dim_ServiceType!$E$2:$E$16,MATCH(E29,Dim_ServiceType!$A$2:$A$16,0)),"Yes","No"))</f>
        <v>Yes</v>
      </c>
      <c r="P29" s="7" t="str">
        <f t="shared" si="3"/>
        <v>Closed</v>
      </c>
      <c r="Q29" s="6">
        <v>2</v>
      </c>
      <c r="R29" s="7" t="s">
        <v>196</v>
      </c>
    </row>
    <row r="30" spans="1:18" x14ac:dyDescent="0.35">
      <c r="A30" s="6">
        <v>29</v>
      </c>
      <c r="B30" s="7" t="s">
        <v>226</v>
      </c>
      <c r="C30" s="6">
        <v>8</v>
      </c>
      <c r="D30" s="6">
        <v>1</v>
      </c>
      <c r="E30" s="6">
        <v>2</v>
      </c>
      <c r="F30" s="6">
        <v>13</v>
      </c>
      <c r="G30" s="9">
        <v>45929.951064814799</v>
      </c>
      <c r="H30" s="9">
        <v>45929.9927314815</v>
      </c>
      <c r="I30" s="9">
        <v>45930.317731481497</v>
      </c>
      <c r="J30" s="9">
        <v>45930.338564814803</v>
      </c>
      <c r="K30" s="7" t="s">
        <v>195</v>
      </c>
      <c r="L30" s="10">
        <f t="shared" si="0"/>
        <v>1.0000000008149073</v>
      </c>
      <c r="M30" s="10">
        <f t="shared" si="1"/>
        <v>7.7999999999301508</v>
      </c>
      <c r="N30" s="10">
        <f t="shared" si="2"/>
        <v>9.3000000001047738</v>
      </c>
      <c r="O30" s="7" t="str">
        <f>IF(ISBLANK(I30),"N/A",IF(((I30-H30)*24)&gt;INDEX(Dim_ServiceType!$E$2:$E$16,MATCH(E30,Dim_ServiceType!$A$2:$A$16,0)),"Yes","No"))</f>
        <v>Yes</v>
      </c>
      <c r="P30" s="7" t="str">
        <f t="shared" si="3"/>
        <v>Closed</v>
      </c>
      <c r="Q30" s="6">
        <v>4</v>
      </c>
      <c r="R30" s="7" t="s">
        <v>196</v>
      </c>
    </row>
    <row r="31" spans="1:18" x14ac:dyDescent="0.35">
      <c r="A31" s="6">
        <v>30</v>
      </c>
      <c r="B31" s="7" t="s">
        <v>227</v>
      </c>
      <c r="C31" s="6">
        <v>8</v>
      </c>
      <c r="D31" s="6">
        <v>5</v>
      </c>
      <c r="E31" s="6">
        <v>12</v>
      </c>
      <c r="F31" s="6">
        <v>3</v>
      </c>
      <c r="G31" s="9">
        <v>45668.454525462999</v>
      </c>
      <c r="H31" s="9">
        <v>45668.621192129598</v>
      </c>
      <c r="I31" s="9">
        <v>45669.608692129601</v>
      </c>
      <c r="J31" s="9">
        <v>45669.692025463002</v>
      </c>
      <c r="K31" s="7" t="s">
        <v>200</v>
      </c>
      <c r="L31" s="10">
        <f t="shared" si="0"/>
        <v>3.9999999983701855</v>
      </c>
      <c r="M31" s="10">
        <f t="shared" si="1"/>
        <v>23.700000000069849</v>
      </c>
      <c r="N31" s="10">
        <f t="shared" si="2"/>
        <v>29.700000000069849</v>
      </c>
      <c r="O31" s="7" t="str">
        <f>IF(ISBLANK(I31),"N/A",IF(((I31-H31)*24)&gt;INDEX(Dim_ServiceType!$E$2:$E$16,MATCH(E31,Dim_ServiceType!$A$2:$A$16,0)),"Yes","No"))</f>
        <v>No</v>
      </c>
      <c r="P31" s="7" t="str">
        <f t="shared" si="3"/>
        <v>Closed</v>
      </c>
      <c r="Q31" s="6">
        <v>4</v>
      </c>
      <c r="R31" s="7" t="s">
        <v>193</v>
      </c>
    </row>
    <row r="32" spans="1:18" x14ac:dyDescent="0.35">
      <c r="A32" s="6">
        <v>31</v>
      </c>
      <c r="B32" s="7" t="s">
        <v>228</v>
      </c>
      <c r="C32" s="6">
        <v>13</v>
      </c>
      <c r="D32" s="6">
        <v>1</v>
      </c>
      <c r="E32" s="6">
        <v>3</v>
      </c>
      <c r="F32" s="6">
        <v>9</v>
      </c>
      <c r="G32" s="9">
        <v>45788.102766203701</v>
      </c>
      <c r="H32" s="9">
        <v>45788.186099537001</v>
      </c>
      <c r="I32" s="9"/>
      <c r="J32" s="9"/>
      <c r="K32" s="7" t="s">
        <v>207</v>
      </c>
      <c r="L32" s="10">
        <f t="shared" si="0"/>
        <v>1.9999999991850927</v>
      </c>
      <c r="M32" s="10" t="str">
        <f t="shared" si="1"/>
        <v/>
      </c>
      <c r="N32" s="10" t="str">
        <f t="shared" si="2"/>
        <v/>
      </c>
      <c r="O32" s="7" t="str">
        <f>IF(ISBLANK(I32),"N/A",IF(((I32-H32)*24)&gt;INDEX(Dim_ServiceType!$E$2:$E$16,MATCH(E32,Dim_ServiceType!$A$2:$A$16,0)),"Yes","No"))</f>
        <v>N/A</v>
      </c>
      <c r="P32" s="7" t="str">
        <f t="shared" si="3"/>
        <v>In Progress</v>
      </c>
      <c r="Q32" s="6"/>
      <c r="R32" s="7"/>
    </row>
    <row r="33" spans="1:18" x14ac:dyDescent="0.35">
      <c r="A33" s="6">
        <v>32</v>
      </c>
      <c r="B33" s="7" t="s">
        <v>229</v>
      </c>
      <c r="C33" s="6">
        <v>15</v>
      </c>
      <c r="D33" s="6">
        <v>1</v>
      </c>
      <c r="E33" s="6">
        <v>4</v>
      </c>
      <c r="F33" s="6">
        <v>3</v>
      </c>
      <c r="G33" s="9">
        <v>46001.570057870398</v>
      </c>
      <c r="H33" s="9"/>
      <c r="I33" s="9"/>
      <c r="J33" s="9"/>
      <c r="K33" s="7" t="s">
        <v>192</v>
      </c>
      <c r="L33" s="10" t="str">
        <f t="shared" si="0"/>
        <v/>
      </c>
      <c r="M33" s="10" t="str">
        <f t="shared" si="1"/>
        <v/>
      </c>
      <c r="N33" s="10" t="str">
        <f t="shared" si="2"/>
        <v/>
      </c>
      <c r="O33" s="7" t="str">
        <f>IF(ISBLANK(I33),"N/A",IF(((I33-H33)*24)&gt;INDEX(Dim_ServiceType!$E$2:$E$16,MATCH(E33,Dim_ServiceType!$A$2:$A$16,0)),"Yes","No"))</f>
        <v>N/A</v>
      </c>
      <c r="P33" s="7" t="str">
        <f t="shared" si="3"/>
        <v>Open (Unassigned)</v>
      </c>
      <c r="Q33" s="6"/>
      <c r="R33" s="7"/>
    </row>
    <row r="34" spans="1:18" x14ac:dyDescent="0.35">
      <c r="A34" s="6">
        <v>33</v>
      </c>
      <c r="B34" s="7" t="s">
        <v>230</v>
      </c>
      <c r="C34" s="6">
        <v>2</v>
      </c>
      <c r="D34" s="6">
        <v>10</v>
      </c>
      <c r="E34" s="6">
        <v>6</v>
      </c>
      <c r="F34" s="6">
        <v>7</v>
      </c>
      <c r="G34" s="9">
        <v>45841.829189814802</v>
      </c>
      <c r="H34" s="9">
        <v>45841.954189814802</v>
      </c>
      <c r="I34" s="9">
        <v>45843.5541898148</v>
      </c>
      <c r="J34" s="9">
        <v>45843.595856481501</v>
      </c>
      <c r="K34" s="7" t="s">
        <v>207</v>
      </c>
      <c r="L34" s="10">
        <f t="shared" si="0"/>
        <v>3</v>
      </c>
      <c r="M34" s="10">
        <f t="shared" si="1"/>
        <v>38.399999999965075</v>
      </c>
      <c r="N34" s="10">
        <f t="shared" si="2"/>
        <v>42.400000000779983</v>
      </c>
      <c r="O34" s="7" t="str">
        <f>IF(ISBLANK(I34),"N/A",IF(((I34-H34)*24)&gt;INDEX(Dim_ServiceType!$E$2:$E$16,MATCH(E34,Dim_ServiceType!$A$2:$A$16,0)),"Yes","No"))</f>
        <v>No</v>
      </c>
      <c r="P34" s="7" t="str">
        <f t="shared" si="3"/>
        <v>Closed</v>
      </c>
      <c r="Q34" s="6">
        <v>2</v>
      </c>
      <c r="R34" s="7" t="s">
        <v>193</v>
      </c>
    </row>
    <row r="35" spans="1:18" x14ac:dyDescent="0.35">
      <c r="A35" s="6">
        <v>34</v>
      </c>
      <c r="B35" s="7" t="s">
        <v>231</v>
      </c>
      <c r="C35" s="6">
        <v>6</v>
      </c>
      <c r="D35" s="6">
        <v>4</v>
      </c>
      <c r="E35" s="6">
        <v>6</v>
      </c>
      <c r="F35" s="6">
        <v>6</v>
      </c>
      <c r="G35" s="9">
        <v>45850.008148148198</v>
      </c>
      <c r="H35" s="9">
        <v>45850.091481481497</v>
      </c>
      <c r="I35" s="9">
        <v>45856.466481481497</v>
      </c>
      <c r="J35" s="9">
        <v>45857.466481481497</v>
      </c>
      <c r="K35" s="7" t="s">
        <v>198</v>
      </c>
      <c r="L35" s="10">
        <f t="shared" si="0"/>
        <v>1.9999999991850927</v>
      </c>
      <c r="M35" s="10">
        <f t="shared" si="1"/>
        <v>153</v>
      </c>
      <c r="N35" s="10">
        <f t="shared" si="2"/>
        <v>178.99999999918509</v>
      </c>
      <c r="O35" s="7" t="str">
        <f>IF(ISBLANK(I35),"N/A",IF(((I35-H35)*24)&gt;INDEX(Dim_ServiceType!$E$2:$E$16,MATCH(E35,Dim_ServiceType!$A$2:$A$16,0)),"Yes","No"))</f>
        <v>Yes</v>
      </c>
      <c r="P35" s="7" t="str">
        <f t="shared" si="3"/>
        <v>Closed</v>
      </c>
      <c r="Q35" s="6">
        <v>2</v>
      </c>
      <c r="R35" s="7" t="s">
        <v>196</v>
      </c>
    </row>
    <row r="36" spans="1:18" x14ac:dyDescent="0.35">
      <c r="A36" s="6">
        <v>35</v>
      </c>
      <c r="B36" s="7" t="s">
        <v>232</v>
      </c>
      <c r="C36" s="6">
        <v>4</v>
      </c>
      <c r="D36" s="6">
        <v>3</v>
      </c>
      <c r="E36" s="6">
        <v>1</v>
      </c>
      <c r="F36" s="6">
        <v>5</v>
      </c>
      <c r="G36" s="9">
        <v>45728.762824074103</v>
      </c>
      <c r="H36" s="9">
        <v>45729.512824074103</v>
      </c>
      <c r="I36" s="9">
        <v>45729.562824074099</v>
      </c>
      <c r="J36" s="9">
        <v>45729.646157407398</v>
      </c>
      <c r="K36" s="7" t="s">
        <v>207</v>
      </c>
      <c r="L36" s="10">
        <f t="shared" si="0"/>
        <v>18</v>
      </c>
      <c r="M36" s="10">
        <f t="shared" si="1"/>
        <v>1.1999999998952262</v>
      </c>
      <c r="N36" s="10">
        <f t="shared" si="2"/>
        <v>21.199999999080319</v>
      </c>
      <c r="O36" s="7" t="str">
        <f>IF(ISBLANK(I36),"N/A",IF(((I36-H36)*24)&gt;INDEX(Dim_ServiceType!$E$2:$E$16,MATCH(E36,Dim_ServiceType!$A$2:$A$16,0)),"Yes","No"))</f>
        <v>No</v>
      </c>
      <c r="P36" s="7" t="str">
        <f t="shared" si="3"/>
        <v>Closed</v>
      </c>
      <c r="Q36" s="6">
        <v>2</v>
      </c>
      <c r="R36" s="7" t="s">
        <v>196</v>
      </c>
    </row>
    <row r="37" spans="1:18" x14ac:dyDescent="0.35">
      <c r="A37" s="6">
        <v>36</v>
      </c>
      <c r="B37" s="7" t="s">
        <v>233</v>
      </c>
      <c r="C37" s="6">
        <v>6</v>
      </c>
      <c r="D37" s="6">
        <v>2</v>
      </c>
      <c r="E37" s="6">
        <v>4</v>
      </c>
      <c r="F37" s="6">
        <v>7</v>
      </c>
      <c r="G37" s="9">
        <v>45897.966562499998</v>
      </c>
      <c r="H37" s="9">
        <v>45897.987395833297</v>
      </c>
      <c r="I37" s="9"/>
      <c r="J37" s="9"/>
      <c r="K37" s="7" t="s">
        <v>195</v>
      </c>
      <c r="L37" s="10">
        <f t="shared" si="0"/>
        <v>0.49999999918509275</v>
      </c>
      <c r="M37" s="10" t="str">
        <f t="shared" si="1"/>
        <v/>
      </c>
      <c r="N37" s="10" t="str">
        <f t="shared" si="2"/>
        <v/>
      </c>
      <c r="O37" s="7" t="str">
        <f>IF(ISBLANK(I37),"N/A",IF(((I37-H37)*24)&gt;INDEX(Dim_ServiceType!$E$2:$E$16,MATCH(E37,Dim_ServiceType!$A$2:$A$16,0)),"Yes","No"))</f>
        <v>N/A</v>
      </c>
      <c r="P37" s="7" t="str">
        <f t="shared" si="3"/>
        <v>In Progress</v>
      </c>
      <c r="Q37" s="6"/>
      <c r="R37" s="7"/>
    </row>
    <row r="38" spans="1:18" x14ac:dyDescent="0.35">
      <c r="A38" s="6">
        <v>37</v>
      </c>
      <c r="B38" s="7" t="s">
        <v>234</v>
      </c>
      <c r="C38" s="6">
        <v>12</v>
      </c>
      <c r="D38" s="6">
        <v>15</v>
      </c>
      <c r="E38" s="6">
        <v>3</v>
      </c>
      <c r="F38" s="6">
        <v>6</v>
      </c>
      <c r="G38" s="9">
        <v>45928.280497685198</v>
      </c>
      <c r="H38" s="9">
        <v>45928.780497685198</v>
      </c>
      <c r="I38" s="9">
        <v>45929.017997685201</v>
      </c>
      <c r="J38" s="9">
        <v>45930.017997685201</v>
      </c>
      <c r="K38" s="7" t="s">
        <v>198</v>
      </c>
      <c r="L38" s="10">
        <f t="shared" si="0"/>
        <v>12</v>
      </c>
      <c r="M38" s="10">
        <f t="shared" si="1"/>
        <v>5.7000000000698492</v>
      </c>
      <c r="N38" s="10">
        <f t="shared" si="2"/>
        <v>41.700000000069849</v>
      </c>
      <c r="O38" s="7" t="str">
        <f>IF(ISBLANK(I38),"N/A",IF(((I38-H38)*24)&gt;INDEX(Dim_ServiceType!$E$2:$E$16,MATCH(E38,Dim_ServiceType!$A$2:$A$16,0)),"Yes","No"))</f>
        <v>No</v>
      </c>
      <c r="P38" s="7" t="str">
        <f t="shared" si="3"/>
        <v>Closed</v>
      </c>
      <c r="Q38" s="6">
        <v>4</v>
      </c>
      <c r="R38" s="7" t="s">
        <v>196</v>
      </c>
    </row>
    <row r="39" spans="1:18" x14ac:dyDescent="0.35">
      <c r="A39" s="6">
        <v>38</v>
      </c>
      <c r="B39" s="7" t="s">
        <v>235</v>
      </c>
      <c r="C39" s="6">
        <v>11</v>
      </c>
      <c r="D39" s="6">
        <v>12</v>
      </c>
      <c r="E39" s="6">
        <v>3</v>
      </c>
      <c r="F39" s="6">
        <v>1</v>
      </c>
      <c r="G39" s="9">
        <v>45777.547523148198</v>
      </c>
      <c r="H39" s="9">
        <v>45778.547523148198</v>
      </c>
      <c r="I39" s="9">
        <v>45778.822523148199</v>
      </c>
      <c r="J39" s="9">
        <v>45778.989189814798</v>
      </c>
      <c r="K39" s="7" t="s">
        <v>198</v>
      </c>
      <c r="L39" s="10">
        <f t="shared" si="0"/>
        <v>24</v>
      </c>
      <c r="M39" s="10">
        <f t="shared" si="1"/>
        <v>6.6000000000349246</v>
      </c>
      <c r="N39" s="10">
        <f t="shared" si="2"/>
        <v>34.59999999840511</v>
      </c>
      <c r="O39" s="7" t="str">
        <f>IF(ISBLANK(I39),"N/A",IF(((I39-H39)*24)&gt;INDEX(Dim_ServiceType!$E$2:$E$16,MATCH(E39,Dim_ServiceType!$A$2:$A$16,0)),"Yes","No"))</f>
        <v>No</v>
      </c>
      <c r="P39" s="7" t="str">
        <f t="shared" si="3"/>
        <v>Closed</v>
      </c>
      <c r="Q39" s="6">
        <v>3</v>
      </c>
      <c r="R39" s="7" t="s">
        <v>196</v>
      </c>
    </row>
    <row r="40" spans="1:18" x14ac:dyDescent="0.35">
      <c r="A40" s="6">
        <v>39</v>
      </c>
      <c r="B40" s="7" t="s">
        <v>236</v>
      </c>
      <c r="C40" s="6">
        <v>2</v>
      </c>
      <c r="D40" s="6">
        <v>11</v>
      </c>
      <c r="E40" s="6">
        <v>7</v>
      </c>
      <c r="F40" s="6">
        <v>11</v>
      </c>
      <c r="G40" s="9">
        <v>45837.3293402778</v>
      </c>
      <c r="H40" s="9">
        <v>45837.371006944399</v>
      </c>
      <c r="I40" s="9">
        <v>45840.654340277797</v>
      </c>
      <c r="J40" s="9">
        <v>45841.154340277797</v>
      </c>
      <c r="K40" s="7" t="s">
        <v>200</v>
      </c>
      <c r="L40" s="10">
        <f t="shared" si="0"/>
        <v>0.99999999837018549</v>
      </c>
      <c r="M40" s="10">
        <f t="shared" si="1"/>
        <v>78.800000001559965</v>
      </c>
      <c r="N40" s="10">
        <f t="shared" si="2"/>
        <v>91.799999999930151</v>
      </c>
      <c r="O40" s="7" t="str">
        <f>IF(ISBLANK(I40),"N/A",IF(((I40-H40)*24)&gt;INDEX(Dim_ServiceType!$E$2:$E$16,MATCH(E40,Dim_ServiceType!$A$2:$A$16,0)),"Yes","No"))</f>
        <v>Yes</v>
      </c>
      <c r="P40" s="7" t="str">
        <f t="shared" si="3"/>
        <v>Closed</v>
      </c>
      <c r="Q40" s="6">
        <v>4</v>
      </c>
      <c r="R40" s="7" t="s">
        <v>196</v>
      </c>
    </row>
    <row r="41" spans="1:18" x14ac:dyDescent="0.35">
      <c r="A41" s="6">
        <v>40</v>
      </c>
      <c r="B41" s="7" t="s">
        <v>237</v>
      </c>
      <c r="C41" s="6">
        <v>7</v>
      </c>
      <c r="D41" s="6">
        <v>12</v>
      </c>
      <c r="E41" s="6">
        <v>6</v>
      </c>
      <c r="F41" s="6">
        <v>6</v>
      </c>
      <c r="G41" s="9">
        <v>45693.634988425903</v>
      </c>
      <c r="H41" s="9">
        <v>45693.884988425903</v>
      </c>
      <c r="I41" s="9">
        <v>45695.0183217593</v>
      </c>
      <c r="J41" s="9">
        <v>45695.184988425899</v>
      </c>
      <c r="K41" s="7" t="s">
        <v>192</v>
      </c>
      <c r="L41" s="10">
        <f t="shared" si="0"/>
        <v>6</v>
      </c>
      <c r="M41" s="10">
        <f t="shared" si="1"/>
        <v>27.200000001525041</v>
      </c>
      <c r="N41" s="10">
        <f t="shared" si="2"/>
        <v>37.199999999895226</v>
      </c>
      <c r="O41" s="7" t="str">
        <f>IF(ISBLANK(I41),"N/A",IF(((I41-H41)*24)&gt;INDEX(Dim_ServiceType!$E$2:$E$16,MATCH(E41,Dim_ServiceType!$A$2:$A$16,0)),"Yes","No"))</f>
        <v>No</v>
      </c>
      <c r="P41" s="7" t="str">
        <f t="shared" si="3"/>
        <v>Closed</v>
      </c>
      <c r="Q41" s="6">
        <v>1</v>
      </c>
      <c r="R41" s="7" t="s">
        <v>196</v>
      </c>
    </row>
    <row r="42" spans="1:18" x14ac:dyDescent="0.35">
      <c r="A42" s="6">
        <v>41</v>
      </c>
      <c r="B42" s="7" t="s">
        <v>238</v>
      </c>
      <c r="C42" s="6">
        <v>6</v>
      </c>
      <c r="D42" s="6">
        <v>2</v>
      </c>
      <c r="E42" s="6">
        <v>4</v>
      </c>
      <c r="F42" s="6">
        <v>15</v>
      </c>
      <c r="G42" s="9">
        <v>45689.781435185199</v>
      </c>
      <c r="H42" s="9">
        <v>45689.802268518499</v>
      </c>
      <c r="I42" s="9">
        <v>45690.6397685185</v>
      </c>
      <c r="J42" s="9">
        <v>45690.660601851901</v>
      </c>
      <c r="K42" s="7" t="s">
        <v>198</v>
      </c>
      <c r="L42" s="10">
        <f t="shared" si="0"/>
        <v>0.49999999918509275</v>
      </c>
      <c r="M42" s="10">
        <f t="shared" si="1"/>
        <v>20.100000000034925</v>
      </c>
      <c r="N42" s="10">
        <f t="shared" si="2"/>
        <v>21.100000000849832</v>
      </c>
      <c r="O42" s="7" t="str">
        <f>IF(ISBLANK(I42),"N/A",IF(((I42-H42)*24)&gt;INDEX(Dim_ServiceType!$E$2:$E$16,MATCH(E42,Dim_ServiceType!$A$2:$A$16,0)),"Yes","No"))</f>
        <v>No</v>
      </c>
      <c r="P42" s="7" t="str">
        <f t="shared" si="3"/>
        <v>Closed</v>
      </c>
      <c r="Q42" s="6">
        <v>3</v>
      </c>
      <c r="R42" s="7" t="s">
        <v>196</v>
      </c>
    </row>
    <row r="43" spans="1:18" x14ac:dyDescent="0.35">
      <c r="A43" s="6">
        <v>42</v>
      </c>
      <c r="B43" s="7" t="s">
        <v>239</v>
      </c>
      <c r="C43" s="6">
        <v>10</v>
      </c>
      <c r="D43" s="6">
        <v>8</v>
      </c>
      <c r="E43" s="6">
        <v>12</v>
      </c>
      <c r="F43" s="6">
        <v>11</v>
      </c>
      <c r="G43" s="9">
        <v>45786.803368055596</v>
      </c>
      <c r="H43" s="9">
        <v>45787.303368055596</v>
      </c>
      <c r="I43" s="9">
        <v>45788.428368055596</v>
      </c>
      <c r="J43" s="9">
        <v>45788.470034722202</v>
      </c>
      <c r="K43" s="7" t="s">
        <v>198</v>
      </c>
      <c r="L43" s="10">
        <f t="shared" si="0"/>
        <v>12</v>
      </c>
      <c r="M43" s="10">
        <f t="shared" si="1"/>
        <v>27</v>
      </c>
      <c r="N43" s="10">
        <f t="shared" si="2"/>
        <v>39.999999998544808</v>
      </c>
      <c r="O43" s="7" t="str">
        <f>IF(ISBLANK(I43),"N/A",IF(((I43-H43)*24)&gt;INDEX(Dim_ServiceType!$E$2:$E$16,MATCH(E43,Dim_ServiceType!$A$2:$A$16,0)),"Yes","No"))</f>
        <v>Yes</v>
      </c>
      <c r="P43" s="7" t="str">
        <f t="shared" si="3"/>
        <v>Closed</v>
      </c>
      <c r="Q43" s="6">
        <v>3</v>
      </c>
      <c r="R43" s="7" t="s">
        <v>196</v>
      </c>
    </row>
    <row r="44" spans="1:18" x14ac:dyDescent="0.35">
      <c r="A44" s="6">
        <v>43</v>
      </c>
      <c r="B44" s="7" t="s">
        <v>240</v>
      </c>
      <c r="C44" s="6">
        <v>7</v>
      </c>
      <c r="D44" s="6">
        <v>8</v>
      </c>
      <c r="E44" s="6">
        <v>11</v>
      </c>
      <c r="F44" s="6">
        <v>8</v>
      </c>
      <c r="G44" s="9">
        <v>45858.293472222198</v>
      </c>
      <c r="H44" s="9">
        <v>45858.460138888899</v>
      </c>
      <c r="I44" s="9">
        <v>45858.768472222197</v>
      </c>
      <c r="J44" s="9">
        <v>45858.935138888897</v>
      </c>
      <c r="K44" s="7" t="s">
        <v>207</v>
      </c>
      <c r="L44" s="10">
        <f t="shared" si="0"/>
        <v>4.0000000008149073</v>
      </c>
      <c r="M44" s="10">
        <f t="shared" si="1"/>
        <v>7.3999999991501682</v>
      </c>
      <c r="N44" s="10">
        <f t="shared" si="2"/>
        <v>15.400000000779983</v>
      </c>
      <c r="O44" s="7" t="str">
        <f>IF(ISBLANK(I44),"N/A",IF(((I44-H44)*24)&gt;INDEX(Dim_ServiceType!$E$2:$E$16,MATCH(E44,Dim_ServiceType!$A$2:$A$16,0)),"Yes","No"))</f>
        <v>No</v>
      </c>
      <c r="P44" s="7" t="str">
        <f t="shared" si="3"/>
        <v>Closed</v>
      </c>
      <c r="Q44" s="6">
        <v>5</v>
      </c>
      <c r="R44" s="7" t="s">
        <v>196</v>
      </c>
    </row>
    <row r="45" spans="1:18" x14ac:dyDescent="0.35">
      <c r="A45" s="6">
        <v>44</v>
      </c>
      <c r="B45" s="7" t="s">
        <v>241</v>
      </c>
      <c r="C45" s="6">
        <v>12</v>
      </c>
      <c r="D45" s="6">
        <v>7</v>
      </c>
      <c r="E45" s="6">
        <v>6</v>
      </c>
      <c r="F45" s="6">
        <v>12</v>
      </c>
      <c r="G45" s="9">
        <v>45957.643541666701</v>
      </c>
      <c r="H45" s="9">
        <v>45958.643541666701</v>
      </c>
      <c r="I45" s="9">
        <v>45959.493541666699</v>
      </c>
      <c r="J45" s="9">
        <v>45960.493541666699</v>
      </c>
      <c r="K45" s="7" t="s">
        <v>195</v>
      </c>
      <c r="L45" s="10">
        <f t="shared" si="0"/>
        <v>24</v>
      </c>
      <c r="M45" s="10">
        <f t="shared" si="1"/>
        <v>20.399999999965075</v>
      </c>
      <c r="N45" s="10">
        <f t="shared" si="2"/>
        <v>68.399999999965075</v>
      </c>
      <c r="O45" s="7" t="str">
        <f>IF(ISBLANK(I45),"N/A",IF(((I45-H45)*24)&gt;INDEX(Dim_ServiceType!$E$2:$E$16,MATCH(E45,Dim_ServiceType!$A$2:$A$16,0)),"Yes","No"))</f>
        <v>No</v>
      </c>
      <c r="P45" s="7" t="str">
        <f t="shared" si="3"/>
        <v>Closed</v>
      </c>
      <c r="Q45" s="6">
        <v>5</v>
      </c>
      <c r="R45" s="7" t="s">
        <v>196</v>
      </c>
    </row>
    <row r="46" spans="1:18" x14ac:dyDescent="0.35">
      <c r="A46" s="6">
        <v>45</v>
      </c>
      <c r="B46" s="7" t="s">
        <v>242</v>
      </c>
      <c r="C46" s="6">
        <v>13</v>
      </c>
      <c r="D46" s="6">
        <v>12</v>
      </c>
      <c r="E46" s="6">
        <v>6</v>
      </c>
      <c r="F46" s="6">
        <v>4</v>
      </c>
      <c r="G46" s="9">
        <v>45925.843009259297</v>
      </c>
      <c r="H46" s="9">
        <v>45925.926342592596</v>
      </c>
      <c r="I46" s="9">
        <v>45928.293009259301</v>
      </c>
      <c r="J46" s="9">
        <v>45928.543009259301</v>
      </c>
      <c r="K46" s="7" t="s">
        <v>198</v>
      </c>
      <c r="L46" s="10">
        <f t="shared" si="0"/>
        <v>1.9999999991850927</v>
      </c>
      <c r="M46" s="10">
        <f t="shared" si="1"/>
        <v>56.800000000919681</v>
      </c>
      <c r="N46" s="10">
        <f t="shared" si="2"/>
        <v>64.800000000104774</v>
      </c>
      <c r="O46" s="7" t="str">
        <f>IF(ISBLANK(I46),"N/A",IF(((I46-H46)*24)&gt;INDEX(Dim_ServiceType!$E$2:$E$16,MATCH(E46,Dim_ServiceType!$A$2:$A$16,0)),"Yes","No"))</f>
        <v>Yes</v>
      </c>
      <c r="P46" s="7" t="str">
        <f t="shared" si="3"/>
        <v>Closed</v>
      </c>
      <c r="Q46" s="6">
        <v>5</v>
      </c>
      <c r="R46" s="7" t="s">
        <v>196</v>
      </c>
    </row>
    <row r="47" spans="1:18" x14ac:dyDescent="0.35">
      <c r="A47" s="6">
        <v>46</v>
      </c>
      <c r="B47" s="7" t="s">
        <v>243</v>
      </c>
      <c r="C47" s="6">
        <v>9</v>
      </c>
      <c r="D47" s="6">
        <v>14</v>
      </c>
      <c r="E47" s="6">
        <v>15</v>
      </c>
      <c r="F47" s="6">
        <v>9</v>
      </c>
      <c r="G47" s="9">
        <v>45757.619918981502</v>
      </c>
      <c r="H47" s="9">
        <v>45757.786585648202</v>
      </c>
      <c r="I47" s="9"/>
      <c r="J47" s="9"/>
      <c r="K47" s="7" t="s">
        <v>207</v>
      </c>
      <c r="L47" s="10">
        <f t="shared" si="0"/>
        <v>4.0000000008149073</v>
      </c>
      <c r="M47" s="10" t="str">
        <f t="shared" si="1"/>
        <v/>
      </c>
      <c r="N47" s="10" t="str">
        <f t="shared" si="2"/>
        <v/>
      </c>
      <c r="O47" s="7" t="str">
        <f>IF(ISBLANK(I47),"N/A",IF(((I47-H47)*24)&gt;INDEX(Dim_ServiceType!$E$2:$E$16,MATCH(E47,Dim_ServiceType!$A$2:$A$16,0)),"Yes","No"))</f>
        <v>N/A</v>
      </c>
      <c r="P47" s="7" t="str">
        <f t="shared" si="3"/>
        <v>In Progress</v>
      </c>
      <c r="Q47" s="6"/>
      <c r="R47" s="7"/>
    </row>
    <row r="48" spans="1:18" x14ac:dyDescent="0.35">
      <c r="A48" s="6">
        <v>47</v>
      </c>
      <c r="B48" s="7" t="s">
        <v>244</v>
      </c>
      <c r="C48" s="6">
        <v>1</v>
      </c>
      <c r="D48" s="6">
        <v>7</v>
      </c>
      <c r="E48" s="6">
        <v>5</v>
      </c>
      <c r="F48" s="6">
        <v>9</v>
      </c>
      <c r="G48" s="9">
        <v>45769.961863425902</v>
      </c>
      <c r="H48" s="9">
        <v>45770.461863425902</v>
      </c>
      <c r="I48" s="9">
        <v>45770.970196759299</v>
      </c>
      <c r="J48" s="9">
        <v>45771.136863425898</v>
      </c>
      <c r="K48" s="7" t="s">
        <v>198</v>
      </c>
      <c r="L48" s="10">
        <f t="shared" si="0"/>
        <v>12</v>
      </c>
      <c r="M48" s="10">
        <f t="shared" si="1"/>
        <v>12.200000001525041</v>
      </c>
      <c r="N48" s="10">
        <f t="shared" si="2"/>
        <v>28.199999999895226</v>
      </c>
      <c r="O48" s="7" t="str">
        <f>IF(ISBLANK(I48),"N/A",IF(((I48-H48)*24)&gt;INDEX(Dim_ServiceType!$E$2:$E$16,MATCH(E48,Dim_ServiceType!$A$2:$A$16,0)),"Yes","No"))</f>
        <v>Yes</v>
      </c>
      <c r="P48" s="7" t="str">
        <f t="shared" si="3"/>
        <v>Closed</v>
      </c>
      <c r="Q48" s="6">
        <v>3</v>
      </c>
      <c r="R48" s="7" t="s">
        <v>193</v>
      </c>
    </row>
    <row r="49" spans="1:18" x14ac:dyDescent="0.35">
      <c r="A49" s="6">
        <v>48</v>
      </c>
      <c r="B49" s="7" t="s">
        <v>245</v>
      </c>
      <c r="C49" s="6">
        <v>7</v>
      </c>
      <c r="D49" s="6">
        <v>15</v>
      </c>
      <c r="E49" s="6">
        <v>11</v>
      </c>
      <c r="F49" s="6">
        <v>10</v>
      </c>
      <c r="G49" s="9">
        <v>45796.413275462997</v>
      </c>
      <c r="H49" s="9">
        <v>45796.434108796297</v>
      </c>
      <c r="I49" s="9">
        <v>45796.9049421296</v>
      </c>
      <c r="J49" s="9">
        <v>45797.071608796301</v>
      </c>
      <c r="K49" s="7" t="s">
        <v>207</v>
      </c>
      <c r="L49" s="10">
        <f t="shared" si="0"/>
        <v>0.49999999918509275</v>
      </c>
      <c r="M49" s="10">
        <f t="shared" si="1"/>
        <v>11.299999999289867</v>
      </c>
      <c r="N49" s="10">
        <f t="shared" si="2"/>
        <v>15.799999999289867</v>
      </c>
      <c r="O49" s="7" t="str">
        <f>IF(ISBLANK(I49),"N/A",IF(((I49-H49)*24)&gt;INDEX(Dim_ServiceType!$E$2:$E$16,MATCH(E49,Dim_ServiceType!$A$2:$A$16,0)),"Yes","No"))</f>
        <v>No</v>
      </c>
      <c r="P49" s="7" t="str">
        <f t="shared" si="3"/>
        <v>Closed</v>
      </c>
      <c r="Q49" s="6">
        <v>4</v>
      </c>
      <c r="R49" s="7" t="s">
        <v>196</v>
      </c>
    </row>
    <row r="50" spans="1:18" x14ac:dyDescent="0.35">
      <c r="A50" s="6">
        <v>49</v>
      </c>
      <c r="B50" s="7" t="s">
        <v>246</v>
      </c>
      <c r="C50" s="6">
        <v>6</v>
      </c>
      <c r="D50" s="6">
        <v>13</v>
      </c>
      <c r="E50" s="6">
        <v>7</v>
      </c>
      <c r="F50" s="6">
        <v>9</v>
      </c>
      <c r="G50" s="9">
        <v>45916.916250000002</v>
      </c>
      <c r="H50" s="9">
        <v>45916.957916666703</v>
      </c>
      <c r="I50" s="9">
        <v>45917.516250000001</v>
      </c>
      <c r="J50" s="9">
        <v>45918.016250000001</v>
      </c>
      <c r="K50" s="7" t="s">
        <v>195</v>
      </c>
      <c r="L50" s="10">
        <f t="shared" si="0"/>
        <v>1.0000000008149073</v>
      </c>
      <c r="M50" s="10">
        <f t="shared" si="1"/>
        <v>13.399999999150168</v>
      </c>
      <c r="N50" s="10">
        <f t="shared" si="2"/>
        <v>26.399999999965075</v>
      </c>
      <c r="O50" s="7" t="str">
        <f>IF(ISBLANK(I50),"N/A",IF(((I50-H50)*24)&gt;INDEX(Dim_ServiceType!$E$2:$E$16,MATCH(E50,Dim_ServiceType!$A$2:$A$16,0)),"Yes","No"))</f>
        <v>No</v>
      </c>
      <c r="P50" s="7" t="str">
        <f t="shared" si="3"/>
        <v>Closed</v>
      </c>
      <c r="Q50" s="6">
        <v>5</v>
      </c>
      <c r="R50" s="7" t="s">
        <v>196</v>
      </c>
    </row>
    <row r="51" spans="1:18" x14ac:dyDescent="0.35">
      <c r="A51" s="6">
        <v>50</v>
      </c>
      <c r="B51" s="7" t="s">
        <v>247</v>
      </c>
      <c r="C51" s="6">
        <v>5</v>
      </c>
      <c r="D51" s="6">
        <v>10</v>
      </c>
      <c r="E51" s="6">
        <v>1</v>
      </c>
      <c r="F51" s="6">
        <v>7</v>
      </c>
      <c r="G51" s="9">
        <v>45777.158715277801</v>
      </c>
      <c r="H51" s="9">
        <v>45777.4920486111</v>
      </c>
      <c r="I51" s="9">
        <v>45777.6337152778</v>
      </c>
      <c r="J51" s="9">
        <v>45778.6337152778</v>
      </c>
      <c r="K51" s="7" t="s">
        <v>207</v>
      </c>
      <c r="L51" s="10">
        <f t="shared" si="0"/>
        <v>7.9999999991850927</v>
      </c>
      <c r="M51" s="10">
        <f t="shared" si="1"/>
        <v>3.4000000007799827</v>
      </c>
      <c r="N51" s="10">
        <f t="shared" si="2"/>
        <v>35.399999999965075</v>
      </c>
      <c r="O51" s="7" t="str">
        <f>IF(ISBLANK(I51),"N/A",IF(((I51-H51)*24)&gt;INDEX(Dim_ServiceType!$E$2:$E$16,MATCH(E51,Dim_ServiceType!$A$2:$A$16,0)),"Yes","No"))</f>
        <v>No</v>
      </c>
      <c r="P51" s="7" t="str">
        <f t="shared" si="3"/>
        <v>Closed</v>
      </c>
      <c r="Q51" s="6">
        <v>1</v>
      </c>
      <c r="R51" s="7" t="s">
        <v>196</v>
      </c>
    </row>
    <row r="52" spans="1:18" x14ac:dyDescent="0.35">
      <c r="A52" s="6">
        <v>51</v>
      </c>
      <c r="B52" s="7" t="s">
        <v>248</v>
      </c>
      <c r="C52" s="6">
        <v>2</v>
      </c>
      <c r="D52" s="6">
        <v>1</v>
      </c>
      <c r="E52" s="6">
        <v>8</v>
      </c>
      <c r="F52" s="6">
        <v>6</v>
      </c>
      <c r="G52" s="9">
        <v>45871.716064814798</v>
      </c>
      <c r="H52" s="9">
        <v>45872.0493981482</v>
      </c>
      <c r="I52" s="9"/>
      <c r="J52" s="9"/>
      <c r="K52" s="7" t="s">
        <v>195</v>
      </c>
      <c r="L52" s="10">
        <f t="shared" si="0"/>
        <v>8.0000000016298145</v>
      </c>
      <c r="M52" s="10" t="str">
        <f t="shared" si="1"/>
        <v/>
      </c>
      <c r="N52" s="10" t="str">
        <f t="shared" si="2"/>
        <v/>
      </c>
      <c r="O52" s="7" t="str">
        <f>IF(ISBLANK(I52),"N/A",IF(((I52-H52)*24)&gt;INDEX(Dim_ServiceType!$E$2:$E$16,MATCH(E52,Dim_ServiceType!$A$2:$A$16,0)),"Yes","No"))</f>
        <v>N/A</v>
      </c>
      <c r="P52" s="7" t="str">
        <f t="shared" si="3"/>
        <v>In Progress</v>
      </c>
      <c r="Q52" s="6"/>
      <c r="R52" s="7"/>
    </row>
    <row r="53" spans="1:18" x14ac:dyDescent="0.35">
      <c r="A53" s="6">
        <v>52</v>
      </c>
      <c r="B53" s="7" t="s">
        <v>249</v>
      </c>
      <c r="C53" s="6">
        <v>12</v>
      </c>
      <c r="D53" s="6">
        <v>3</v>
      </c>
      <c r="E53" s="6">
        <v>10</v>
      </c>
      <c r="F53" s="6">
        <v>11</v>
      </c>
      <c r="G53" s="9">
        <v>45923.815138888902</v>
      </c>
      <c r="H53" s="9">
        <v>45924.815138888902</v>
      </c>
      <c r="I53" s="9">
        <v>45925.090138888903</v>
      </c>
      <c r="J53" s="9">
        <v>45925.256805555597</v>
      </c>
      <c r="K53" s="7" t="s">
        <v>207</v>
      </c>
      <c r="L53" s="10">
        <f t="shared" si="0"/>
        <v>24</v>
      </c>
      <c r="M53" s="10">
        <f t="shared" si="1"/>
        <v>6.6000000000349246</v>
      </c>
      <c r="N53" s="10">
        <f t="shared" si="2"/>
        <v>34.600000000675209</v>
      </c>
      <c r="O53" s="7" t="str">
        <f>IF(ISBLANK(I53),"N/A",IF(((I53-H53)*24)&gt;INDEX(Dim_ServiceType!$E$2:$E$16,MATCH(E53,Dim_ServiceType!$A$2:$A$16,0)),"Yes","No"))</f>
        <v>Yes</v>
      </c>
      <c r="P53" s="7" t="str">
        <f t="shared" si="3"/>
        <v>Closed</v>
      </c>
      <c r="Q53" s="6">
        <v>3</v>
      </c>
      <c r="R53" s="7" t="s">
        <v>196</v>
      </c>
    </row>
    <row r="54" spans="1:18" x14ac:dyDescent="0.35">
      <c r="A54" s="6">
        <v>53</v>
      </c>
      <c r="B54" s="7" t="s">
        <v>250</v>
      </c>
      <c r="C54" s="6">
        <v>7</v>
      </c>
      <c r="D54" s="6">
        <v>15</v>
      </c>
      <c r="E54" s="6">
        <v>15</v>
      </c>
      <c r="F54" s="6">
        <v>12</v>
      </c>
      <c r="G54" s="9">
        <v>45808.6734490741</v>
      </c>
      <c r="H54" s="9">
        <v>45808.756782407399</v>
      </c>
      <c r="I54" s="9"/>
      <c r="J54" s="9"/>
      <c r="K54" s="7" t="s">
        <v>207</v>
      </c>
      <c r="L54" s="10">
        <f t="shared" si="0"/>
        <v>1.9999999991850927</v>
      </c>
      <c r="M54" s="10" t="str">
        <f t="shared" si="1"/>
        <v/>
      </c>
      <c r="N54" s="10" t="str">
        <f t="shared" si="2"/>
        <v/>
      </c>
      <c r="O54" s="7" t="str">
        <f>IF(ISBLANK(I54),"N/A",IF(((I54-H54)*24)&gt;INDEX(Dim_ServiceType!$E$2:$E$16,MATCH(E54,Dim_ServiceType!$A$2:$A$16,0)),"Yes","No"))</f>
        <v>N/A</v>
      </c>
      <c r="P54" s="7" t="str">
        <f t="shared" si="3"/>
        <v>In Progress</v>
      </c>
      <c r="Q54" s="6"/>
      <c r="R54" s="7"/>
    </row>
    <row r="55" spans="1:18" x14ac:dyDescent="0.35">
      <c r="A55" s="6">
        <v>54</v>
      </c>
      <c r="B55" s="7" t="s">
        <v>251</v>
      </c>
      <c r="C55" s="6">
        <v>5</v>
      </c>
      <c r="D55" s="6">
        <v>9</v>
      </c>
      <c r="E55" s="6">
        <v>5</v>
      </c>
      <c r="F55" s="6">
        <v>14</v>
      </c>
      <c r="G55" s="9">
        <v>45787.148113425901</v>
      </c>
      <c r="H55" s="9">
        <v>45787.398113425901</v>
      </c>
      <c r="I55" s="9">
        <v>45788.756446759297</v>
      </c>
      <c r="J55" s="9">
        <v>45789.256446759297</v>
      </c>
      <c r="K55" s="7" t="s">
        <v>195</v>
      </c>
      <c r="L55" s="10">
        <f t="shared" si="0"/>
        <v>6</v>
      </c>
      <c r="M55" s="10">
        <f t="shared" si="1"/>
        <v>32.600000001490116</v>
      </c>
      <c r="N55" s="10">
        <f t="shared" si="2"/>
        <v>50.600000001490116</v>
      </c>
      <c r="O55" s="7" t="str">
        <f>IF(ISBLANK(I55),"N/A",IF(((I55-H55)*24)&gt;INDEX(Dim_ServiceType!$E$2:$E$16,MATCH(E55,Dim_ServiceType!$A$2:$A$16,0)),"Yes","No"))</f>
        <v>Yes</v>
      </c>
      <c r="P55" s="7" t="str">
        <f t="shared" si="3"/>
        <v>Closed</v>
      </c>
      <c r="Q55" s="6">
        <v>1</v>
      </c>
      <c r="R55" s="7" t="s">
        <v>193</v>
      </c>
    </row>
    <row r="56" spans="1:18" x14ac:dyDescent="0.35">
      <c r="A56" s="6">
        <v>55</v>
      </c>
      <c r="B56" s="7" t="s">
        <v>252</v>
      </c>
      <c r="C56" s="6">
        <v>1</v>
      </c>
      <c r="D56" s="6">
        <v>3</v>
      </c>
      <c r="E56" s="6">
        <v>12</v>
      </c>
      <c r="F56" s="6">
        <v>2</v>
      </c>
      <c r="G56" s="9">
        <v>45996.191030092603</v>
      </c>
      <c r="H56" s="9">
        <v>45996.211863425902</v>
      </c>
      <c r="I56" s="9">
        <v>45996.707696759302</v>
      </c>
      <c r="J56" s="9">
        <v>45996.957696759302</v>
      </c>
      <c r="K56" s="7" t="s">
        <v>195</v>
      </c>
      <c r="L56" s="10">
        <f t="shared" si="0"/>
        <v>0.49999999918509275</v>
      </c>
      <c r="M56" s="10">
        <f t="shared" si="1"/>
        <v>11.90000000159489</v>
      </c>
      <c r="N56" s="10">
        <f t="shared" si="2"/>
        <v>18.400000000779983</v>
      </c>
      <c r="O56" s="7" t="str">
        <f>IF(ISBLANK(I56),"N/A",IF(((I56-H56)*24)&gt;INDEX(Dim_ServiceType!$E$2:$E$16,MATCH(E56,Dim_ServiceType!$A$2:$A$16,0)),"Yes","No"))</f>
        <v>No</v>
      </c>
      <c r="P56" s="7" t="str">
        <f t="shared" si="3"/>
        <v>Closed</v>
      </c>
      <c r="Q56" s="6">
        <v>1</v>
      </c>
      <c r="R56" s="7" t="s">
        <v>196</v>
      </c>
    </row>
    <row r="57" spans="1:18" x14ac:dyDescent="0.35">
      <c r="A57" s="6">
        <v>56</v>
      </c>
      <c r="B57" s="7" t="s">
        <v>253</v>
      </c>
      <c r="C57" s="6">
        <v>5</v>
      </c>
      <c r="D57" s="6">
        <v>11</v>
      </c>
      <c r="E57" s="6">
        <v>4</v>
      </c>
      <c r="F57" s="6">
        <v>2</v>
      </c>
      <c r="G57" s="9">
        <v>45699.659537036998</v>
      </c>
      <c r="H57" s="9">
        <v>45700.409537036998</v>
      </c>
      <c r="I57" s="9">
        <v>45701.151203703703</v>
      </c>
      <c r="J57" s="9">
        <v>45701.192870370403</v>
      </c>
      <c r="K57" s="7" t="s">
        <v>200</v>
      </c>
      <c r="L57" s="10">
        <f t="shared" si="0"/>
        <v>18</v>
      </c>
      <c r="M57" s="10">
        <f t="shared" si="1"/>
        <v>17.800000000919681</v>
      </c>
      <c r="N57" s="10">
        <f t="shared" si="2"/>
        <v>36.800000001734588</v>
      </c>
      <c r="O57" s="7" t="str">
        <f>IF(ISBLANK(I57),"N/A",IF(((I57-H57)*24)&gt;INDEX(Dim_ServiceType!$E$2:$E$16,MATCH(E57,Dim_ServiceType!$A$2:$A$16,0)),"Yes","No"))</f>
        <v>No</v>
      </c>
      <c r="P57" s="7" t="str">
        <f t="shared" si="3"/>
        <v>Closed</v>
      </c>
      <c r="Q57" s="6">
        <v>5</v>
      </c>
      <c r="R57" s="7" t="s">
        <v>196</v>
      </c>
    </row>
    <row r="58" spans="1:18" x14ac:dyDescent="0.35">
      <c r="A58" s="6">
        <v>57</v>
      </c>
      <c r="B58" s="7" t="s">
        <v>254</v>
      </c>
      <c r="C58" s="6">
        <v>3</v>
      </c>
      <c r="D58" s="6">
        <v>12</v>
      </c>
      <c r="E58" s="6">
        <v>13</v>
      </c>
      <c r="F58" s="6">
        <v>1</v>
      </c>
      <c r="G58" s="9">
        <v>45671.835312499999</v>
      </c>
      <c r="H58" s="9">
        <v>45671.960312499999</v>
      </c>
      <c r="I58" s="9"/>
      <c r="J58" s="9"/>
      <c r="K58" s="7" t="s">
        <v>198</v>
      </c>
      <c r="L58" s="10">
        <f t="shared" si="0"/>
        <v>3</v>
      </c>
      <c r="M58" s="10" t="str">
        <f t="shared" si="1"/>
        <v/>
      </c>
      <c r="N58" s="10" t="str">
        <f t="shared" si="2"/>
        <v/>
      </c>
      <c r="O58" s="7" t="str">
        <f>IF(ISBLANK(I58),"N/A",IF(((I58-H58)*24)&gt;INDEX(Dim_ServiceType!$E$2:$E$16,MATCH(E58,Dim_ServiceType!$A$2:$A$16,0)),"Yes","No"))</f>
        <v>N/A</v>
      </c>
      <c r="P58" s="7" t="str">
        <f t="shared" si="3"/>
        <v>In Progress</v>
      </c>
      <c r="Q58" s="6"/>
      <c r="R58" s="7"/>
    </row>
    <row r="59" spans="1:18" x14ac:dyDescent="0.35">
      <c r="A59" s="6">
        <v>58</v>
      </c>
      <c r="B59" s="7" t="s">
        <v>255</v>
      </c>
      <c r="C59" s="6">
        <v>14</v>
      </c>
      <c r="D59" s="6">
        <v>2</v>
      </c>
      <c r="E59" s="6">
        <v>10</v>
      </c>
      <c r="F59" s="6">
        <v>12</v>
      </c>
      <c r="G59" s="9">
        <v>45719.493923611102</v>
      </c>
      <c r="H59" s="9">
        <v>45719.660590277803</v>
      </c>
      <c r="I59" s="9">
        <v>45719.9272569444</v>
      </c>
      <c r="J59" s="9">
        <v>45720.1772569444</v>
      </c>
      <c r="K59" s="7" t="s">
        <v>192</v>
      </c>
      <c r="L59" s="10">
        <f t="shared" si="0"/>
        <v>4.0000000008149073</v>
      </c>
      <c r="M59" s="10">
        <f t="shared" si="1"/>
        <v>6.3999999983352609</v>
      </c>
      <c r="N59" s="10">
        <f t="shared" si="2"/>
        <v>16.399999999150168</v>
      </c>
      <c r="O59" s="7" t="str">
        <f>IF(ISBLANK(I59),"N/A",IF(((I59-H59)*24)&gt;INDEX(Dim_ServiceType!$E$2:$E$16,MATCH(E59,Dim_ServiceType!$A$2:$A$16,0)),"Yes","No"))</f>
        <v>Yes</v>
      </c>
      <c r="P59" s="7" t="str">
        <f t="shared" si="3"/>
        <v>Closed</v>
      </c>
      <c r="Q59" s="6">
        <v>5</v>
      </c>
      <c r="R59" s="7" t="s">
        <v>196</v>
      </c>
    </row>
    <row r="60" spans="1:18" x14ac:dyDescent="0.35">
      <c r="A60" s="6">
        <v>59</v>
      </c>
      <c r="B60" s="7" t="s">
        <v>256</v>
      </c>
      <c r="C60" s="6">
        <v>9</v>
      </c>
      <c r="D60" s="6">
        <v>6</v>
      </c>
      <c r="E60" s="6">
        <v>15</v>
      </c>
      <c r="F60" s="6">
        <v>15</v>
      </c>
      <c r="G60" s="9">
        <v>45813.968055555597</v>
      </c>
      <c r="H60" s="9">
        <v>45814.468055555597</v>
      </c>
      <c r="I60" s="9">
        <v>45815.255555555603</v>
      </c>
      <c r="J60" s="9">
        <v>45815.755555555603</v>
      </c>
      <c r="K60" s="7" t="s">
        <v>198</v>
      </c>
      <c r="L60" s="10">
        <f t="shared" si="0"/>
        <v>12</v>
      </c>
      <c r="M60" s="10">
        <f t="shared" si="1"/>
        <v>18.900000000139698</v>
      </c>
      <c r="N60" s="10">
        <f t="shared" si="2"/>
        <v>42.900000000139698</v>
      </c>
      <c r="O60" s="7" t="str">
        <f>IF(ISBLANK(I60),"N/A",IF(((I60-H60)*24)&gt;INDEX(Dim_ServiceType!$E$2:$E$16,MATCH(E60,Dim_ServiceType!$A$2:$A$16,0)),"Yes","No"))</f>
        <v>No</v>
      </c>
      <c r="P60" s="7" t="str">
        <f t="shared" si="3"/>
        <v>Closed</v>
      </c>
      <c r="Q60" s="6">
        <v>4</v>
      </c>
      <c r="R60" s="7" t="s">
        <v>196</v>
      </c>
    </row>
    <row r="61" spans="1:18" x14ac:dyDescent="0.35">
      <c r="A61" s="6">
        <v>60</v>
      </c>
      <c r="B61" s="7" t="s">
        <v>257</v>
      </c>
      <c r="C61" s="6">
        <v>14</v>
      </c>
      <c r="D61" s="6">
        <v>10</v>
      </c>
      <c r="E61" s="6">
        <v>5</v>
      </c>
      <c r="F61" s="6">
        <v>7</v>
      </c>
      <c r="G61" s="9">
        <v>45999.350763888899</v>
      </c>
      <c r="H61" s="9">
        <v>45999.517430555599</v>
      </c>
      <c r="I61" s="9">
        <v>45999.863263888903</v>
      </c>
      <c r="J61" s="9">
        <v>46000.029930555596</v>
      </c>
      <c r="K61" s="7" t="s">
        <v>198</v>
      </c>
      <c r="L61" s="10">
        <f t="shared" si="0"/>
        <v>4.0000000008149073</v>
      </c>
      <c r="M61" s="10">
        <f t="shared" si="1"/>
        <v>8.2999999992898665</v>
      </c>
      <c r="N61" s="10">
        <f t="shared" si="2"/>
        <v>16.300000000745058</v>
      </c>
      <c r="O61" s="7" t="str">
        <f>IF(ISBLANK(I61),"N/A",IF(((I61-H61)*24)&gt;INDEX(Dim_ServiceType!$E$2:$E$16,MATCH(E61,Dim_ServiceType!$A$2:$A$16,0)),"Yes","No"))</f>
        <v>No</v>
      </c>
      <c r="P61" s="7" t="str">
        <f t="shared" si="3"/>
        <v>Closed</v>
      </c>
      <c r="Q61" s="6">
        <v>4</v>
      </c>
      <c r="R61" s="7" t="s">
        <v>196</v>
      </c>
    </row>
    <row r="62" spans="1:18" x14ac:dyDescent="0.35">
      <c r="A62" s="6">
        <v>61</v>
      </c>
      <c r="B62" s="7" t="s">
        <v>258</v>
      </c>
      <c r="C62" s="6">
        <v>5</v>
      </c>
      <c r="D62" s="6">
        <v>11</v>
      </c>
      <c r="E62" s="6">
        <v>15</v>
      </c>
      <c r="F62" s="6">
        <v>6</v>
      </c>
      <c r="G62" s="9">
        <v>45751.541319444397</v>
      </c>
      <c r="H62" s="9">
        <v>45752.541319444397</v>
      </c>
      <c r="I62" s="9">
        <v>45753.203819444498</v>
      </c>
      <c r="J62" s="9">
        <v>45753.453819444498</v>
      </c>
      <c r="K62" s="7" t="s">
        <v>200</v>
      </c>
      <c r="L62" s="10">
        <f t="shared" si="0"/>
        <v>24</v>
      </c>
      <c r="M62" s="10">
        <f t="shared" si="1"/>
        <v>15.900000002409797</v>
      </c>
      <c r="N62" s="10">
        <f t="shared" si="2"/>
        <v>45.900000002409797</v>
      </c>
      <c r="O62" s="7" t="str">
        <f>IF(ISBLANK(I62),"N/A",IF(((I62-H62)*24)&gt;INDEX(Dim_ServiceType!$E$2:$E$16,MATCH(E62,Dim_ServiceType!$A$2:$A$16,0)),"Yes","No"))</f>
        <v>No</v>
      </c>
      <c r="P62" s="7" t="str">
        <f t="shared" si="3"/>
        <v>Closed</v>
      </c>
      <c r="Q62" s="6">
        <v>4</v>
      </c>
      <c r="R62" s="7" t="s">
        <v>193</v>
      </c>
    </row>
    <row r="63" spans="1:18" x14ac:dyDescent="0.35">
      <c r="A63" s="6">
        <v>62</v>
      </c>
      <c r="B63" s="7" t="s">
        <v>259</v>
      </c>
      <c r="C63" s="6">
        <v>8</v>
      </c>
      <c r="D63" s="6">
        <v>13</v>
      </c>
      <c r="E63" s="6">
        <v>8</v>
      </c>
      <c r="F63" s="6">
        <v>3</v>
      </c>
      <c r="G63" s="9">
        <v>46005.575532407398</v>
      </c>
      <c r="H63" s="9"/>
      <c r="I63" s="9"/>
      <c r="J63" s="9"/>
      <c r="K63" s="7" t="s">
        <v>198</v>
      </c>
      <c r="L63" s="10" t="str">
        <f t="shared" si="0"/>
        <v/>
      </c>
      <c r="M63" s="10" t="str">
        <f t="shared" si="1"/>
        <v/>
      </c>
      <c r="N63" s="10" t="str">
        <f t="shared" si="2"/>
        <v/>
      </c>
      <c r="O63" s="7" t="str">
        <f>IF(ISBLANK(I63),"N/A",IF(((I63-H63)*24)&gt;INDEX(Dim_ServiceType!$E$2:$E$16,MATCH(E63,Dim_ServiceType!$A$2:$A$16,0)),"Yes","No"))</f>
        <v>N/A</v>
      </c>
      <c r="P63" s="7" t="str">
        <f t="shared" si="3"/>
        <v>Open (Unassigned)</v>
      </c>
      <c r="Q63" s="6"/>
      <c r="R63" s="7"/>
    </row>
    <row r="64" spans="1:18" x14ac:dyDescent="0.35">
      <c r="A64" s="6">
        <v>63</v>
      </c>
      <c r="B64" s="7" t="s">
        <v>260</v>
      </c>
      <c r="C64" s="6">
        <v>11</v>
      </c>
      <c r="D64" s="6">
        <v>9</v>
      </c>
      <c r="E64" s="6">
        <v>10</v>
      </c>
      <c r="F64" s="6">
        <v>1</v>
      </c>
      <c r="G64" s="9">
        <v>45929.152013888903</v>
      </c>
      <c r="H64" s="9">
        <v>45929.193680555603</v>
      </c>
      <c r="I64" s="9">
        <v>45929.460347222201</v>
      </c>
      <c r="J64" s="9">
        <v>45930.460347222201</v>
      </c>
      <c r="K64" s="7" t="s">
        <v>198</v>
      </c>
      <c r="L64" s="10">
        <f t="shared" si="0"/>
        <v>1.0000000008149073</v>
      </c>
      <c r="M64" s="10">
        <f t="shared" si="1"/>
        <v>6.3999999983352609</v>
      </c>
      <c r="N64" s="10">
        <f t="shared" si="2"/>
        <v>31.399999999150168</v>
      </c>
      <c r="O64" s="7" t="str">
        <f>IF(ISBLANK(I64),"N/A",IF(((I64-H64)*24)&gt;INDEX(Dim_ServiceType!$E$2:$E$16,MATCH(E64,Dim_ServiceType!$A$2:$A$16,0)),"Yes","No"))</f>
        <v>Yes</v>
      </c>
      <c r="P64" s="7" t="str">
        <f t="shared" si="3"/>
        <v>Closed</v>
      </c>
      <c r="Q64" s="6">
        <v>5</v>
      </c>
      <c r="R64" s="7" t="s">
        <v>193</v>
      </c>
    </row>
    <row r="65" spans="1:18" x14ac:dyDescent="0.35">
      <c r="A65" s="6">
        <v>64</v>
      </c>
      <c r="B65" s="7" t="s">
        <v>261</v>
      </c>
      <c r="C65" s="6">
        <v>6</v>
      </c>
      <c r="D65" s="6">
        <v>9</v>
      </c>
      <c r="E65" s="6">
        <v>10</v>
      </c>
      <c r="F65" s="6">
        <v>10</v>
      </c>
      <c r="G65" s="9">
        <v>45681.433136574102</v>
      </c>
      <c r="H65" s="9">
        <v>45681.599803240701</v>
      </c>
      <c r="I65" s="9">
        <v>45681.912303240701</v>
      </c>
      <c r="J65" s="9">
        <v>45682.412303240701</v>
      </c>
      <c r="K65" s="7" t="s">
        <v>198</v>
      </c>
      <c r="L65" s="10">
        <f t="shared" si="0"/>
        <v>3.9999999983701855</v>
      </c>
      <c r="M65" s="10">
        <f t="shared" si="1"/>
        <v>7.5</v>
      </c>
      <c r="N65" s="10">
        <f t="shared" si="2"/>
        <v>23.499999998370185</v>
      </c>
      <c r="O65" s="7" t="str">
        <f>IF(ISBLANK(I65),"N/A",IF(((I65-H65)*24)&gt;INDEX(Dim_ServiceType!$E$2:$E$16,MATCH(E65,Dim_ServiceType!$A$2:$A$16,0)),"Yes","No"))</f>
        <v>Yes</v>
      </c>
      <c r="P65" s="7" t="str">
        <f t="shared" si="3"/>
        <v>Closed</v>
      </c>
      <c r="Q65" s="6">
        <v>3</v>
      </c>
      <c r="R65" s="7" t="s">
        <v>196</v>
      </c>
    </row>
    <row r="66" spans="1:18" x14ac:dyDescent="0.35">
      <c r="A66" s="6">
        <v>65</v>
      </c>
      <c r="B66" s="7" t="s">
        <v>262</v>
      </c>
      <c r="C66" s="6">
        <v>5</v>
      </c>
      <c r="D66" s="6">
        <v>3</v>
      </c>
      <c r="E66" s="6">
        <v>12</v>
      </c>
      <c r="F66" s="6">
        <v>4</v>
      </c>
      <c r="G66" s="9">
        <v>45852.735347222202</v>
      </c>
      <c r="H66" s="9">
        <v>45852.902013888903</v>
      </c>
      <c r="I66" s="9">
        <v>45853.993680555599</v>
      </c>
      <c r="J66" s="9">
        <v>45854.493680555599</v>
      </c>
      <c r="K66" s="7" t="s">
        <v>192</v>
      </c>
      <c r="L66" s="10">
        <f t="shared" ref="L66:L129" si="4">IF(ISBLANK(H66),"",(H66-G66)*24)</f>
        <v>4.0000000008149073</v>
      </c>
      <c r="M66" s="10">
        <f t="shared" ref="M66:M129" si="5">IF(ISBLANK(I66),"",(I66-H66)*24)</f>
        <v>26.200000000710133</v>
      </c>
      <c r="N66" s="10">
        <f t="shared" ref="N66:N129" si="6">IF(ISBLANK(J66),"",(J66-G66)*24)</f>
        <v>42.200000001525041</v>
      </c>
      <c r="O66" s="7" t="str">
        <f>IF(ISBLANK(I66),"N/A",IF(((I66-H66)*24)&gt;INDEX(Dim_ServiceType!$E$2:$E$16,MATCH(E66,Dim_ServiceType!$A$2:$A$16,0)),"Yes","No"))</f>
        <v>Yes</v>
      </c>
      <c r="P66" s="7" t="str">
        <f t="shared" ref="P66:P129" si="7">IF(ISBLANK(H66),"Open (Unassigned)",IF(ISBLANK(I66),"In Progress",IF(ISBLANK(J66),"Resolved (Pending Closure)","Closed")))</f>
        <v>Closed</v>
      </c>
      <c r="Q66" s="6">
        <v>4</v>
      </c>
      <c r="R66" s="7" t="s">
        <v>196</v>
      </c>
    </row>
    <row r="67" spans="1:18" x14ac:dyDescent="0.35">
      <c r="A67" s="6">
        <v>66</v>
      </c>
      <c r="B67" s="7" t="s">
        <v>263</v>
      </c>
      <c r="C67" s="6">
        <v>10</v>
      </c>
      <c r="D67" s="6">
        <v>9</v>
      </c>
      <c r="E67" s="6">
        <v>3</v>
      </c>
      <c r="F67" s="6">
        <v>14</v>
      </c>
      <c r="G67" s="9">
        <v>45672.854641203703</v>
      </c>
      <c r="H67" s="9">
        <v>45673.604641203703</v>
      </c>
      <c r="I67" s="9">
        <v>45673.958807870396</v>
      </c>
      <c r="J67" s="9">
        <v>45673.979641203703</v>
      </c>
      <c r="K67" s="7" t="s">
        <v>198</v>
      </c>
      <c r="L67" s="10">
        <f t="shared" si="4"/>
        <v>18</v>
      </c>
      <c r="M67" s="10">
        <f t="shared" si="5"/>
        <v>8.5000000006402843</v>
      </c>
      <c r="N67" s="10">
        <f t="shared" si="6"/>
        <v>27</v>
      </c>
      <c r="O67" s="7" t="str">
        <f>IF(ISBLANK(I67),"N/A",IF(((I67-H67)*24)&gt;INDEX(Dim_ServiceType!$E$2:$E$16,MATCH(E67,Dim_ServiceType!$A$2:$A$16,0)),"Yes","No"))</f>
        <v>Yes</v>
      </c>
      <c r="P67" s="7" t="str">
        <f t="shared" si="7"/>
        <v>Closed</v>
      </c>
      <c r="Q67" s="6">
        <v>4</v>
      </c>
      <c r="R67" s="7" t="s">
        <v>196</v>
      </c>
    </row>
    <row r="68" spans="1:18" x14ac:dyDescent="0.35">
      <c r="A68" s="6">
        <v>67</v>
      </c>
      <c r="B68" s="7" t="s">
        <v>264</v>
      </c>
      <c r="C68" s="6">
        <v>11</v>
      </c>
      <c r="D68" s="6">
        <v>14</v>
      </c>
      <c r="E68" s="6">
        <v>5</v>
      </c>
      <c r="F68" s="6">
        <v>14</v>
      </c>
      <c r="G68" s="9">
        <v>45786.410810185203</v>
      </c>
      <c r="H68" s="9">
        <v>45786.535810185203</v>
      </c>
      <c r="I68" s="9">
        <v>45786.998310185198</v>
      </c>
      <c r="J68" s="9">
        <v>45787.081643518497</v>
      </c>
      <c r="K68" s="7" t="s">
        <v>198</v>
      </c>
      <c r="L68" s="10">
        <f t="shared" si="4"/>
        <v>3</v>
      </c>
      <c r="M68" s="10">
        <f t="shared" si="5"/>
        <v>11.099999999860302</v>
      </c>
      <c r="N68" s="10">
        <f t="shared" si="6"/>
        <v>16.099999999045394</v>
      </c>
      <c r="O68" s="7" t="str">
        <f>IF(ISBLANK(I68),"N/A",IF(((I68-H68)*24)&gt;INDEX(Dim_ServiceType!$E$2:$E$16,MATCH(E68,Dim_ServiceType!$A$2:$A$16,0)),"Yes","No"))</f>
        <v>No</v>
      </c>
      <c r="P68" s="7" t="str">
        <f t="shared" si="7"/>
        <v>Closed</v>
      </c>
      <c r="Q68" s="6">
        <v>4</v>
      </c>
      <c r="R68" s="7" t="s">
        <v>196</v>
      </c>
    </row>
    <row r="69" spans="1:18" x14ac:dyDescent="0.35">
      <c r="A69" s="6">
        <v>68</v>
      </c>
      <c r="B69" s="7" t="s">
        <v>265</v>
      </c>
      <c r="C69" s="6">
        <v>5</v>
      </c>
      <c r="D69" s="6">
        <v>9</v>
      </c>
      <c r="E69" s="6">
        <v>8</v>
      </c>
      <c r="F69" s="6">
        <v>8</v>
      </c>
      <c r="G69" s="9">
        <v>45853.177777777797</v>
      </c>
      <c r="H69" s="9">
        <v>45853.302777777797</v>
      </c>
      <c r="I69" s="9">
        <v>45853.4152777778</v>
      </c>
      <c r="J69" s="9">
        <v>45853.9152777778</v>
      </c>
      <c r="K69" s="7" t="s">
        <v>207</v>
      </c>
      <c r="L69" s="10">
        <f t="shared" si="4"/>
        <v>3</v>
      </c>
      <c r="M69" s="10">
        <f t="shared" si="5"/>
        <v>2.7000000000698492</v>
      </c>
      <c r="N69" s="10">
        <f t="shared" si="6"/>
        <v>17.700000000069849</v>
      </c>
      <c r="O69" s="7" t="str">
        <f>IF(ISBLANK(I69),"N/A",IF(((I69-H69)*24)&gt;INDEX(Dim_ServiceType!$E$2:$E$16,MATCH(E69,Dim_ServiceType!$A$2:$A$16,0)),"Yes","No"))</f>
        <v>No</v>
      </c>
      <c r="P69" s="7" t="str">
        <f t="shared" si="7"/>
        <v>Closed</v>
      </c>
      <c r="Q69" s="6">
        <v>4</v>
      </c>
      <c r="R69" s="7" t="s">
        <v>196</v>
      </c>
    </row>
    <row r="70" spans="1:18" x14ac:dyDescent="0.35">
      <c r="A70" s="6">
        <v>69</v>
      </c>
      <c r="B70" s="7" t="s">
        <v>266</v>
      </c>
      <c r="C70" s="6">
        <v>15</v>
      </c>
      <c r="D70" s="6">
        <v>3</v>
      </c>
      <c r="E70" s="6">
        <v>5</v>
      </c>
      <c r="F70" s="6">
        <v>5</v>
      </c>
      <c r="G70" s="9">
        <v>45940.775451388901</v>
      </c>
      <c r="H70" s="9">
        <v>45940.817118055602</v>
      </c>
      <c r="I70" s="9">
        <v>45941.454618055599</v>
      </c>
      <c r="J70" s="9">
        <v>45941.496284722198</v>
      </c>
      <c r="K70" s="7" t="s">
        <v>200</v>
      </c>
      <c r="L70" s="10">
        <f t="shared" si="4"/>
        <v>1.0000000008149073</v>
      </c>
      <c r="M70" s="10">
        <f t="shared" si="5"/>
        <v>15.299999999930151</v>
      </c>
      <c r="N70" s="10">
        <f t="shared" si="6"/>
        <v>17.299999999115244</v>
      </c>
      <c r="O70" s="7" t="str">
        <f>IF(ISBLANK(I70),"N/A",IF(((I70-H70)*24)&gt;INDEX(Dim_ServiceType!$E$2:$E$16,MATCH(E70,Dim_ServiceType!$A$2:$A$16,0)),"Yes","No"))</f>
        <v>Yes</v>
      </c>
      <c r="P70" s="7" t="str">
        <f t="shared" si="7"/>
        <v>Closed</v>
      </c>
      <c r="Q70" s="6">
        <v>4</v>
      </c>
      <c r="R70" s="7" t="s">
        <v>196</v>
      </c>
    </row>
    <row r="71" spans="1:18" x14ac:dyDescent="0.35">
      <c r="A71" s="6">
        <v>70</v>
      </c>
      <c r="B71" s="7" t="s">
        <v>267</v>
      </c>
      <c r="C71" s="6">
        <v>2</v>
      </c>
      <c r="D71" s="6">
        <v>8</v>
      </c>
      <c r="E71" s="6">
        <v>1</v>
      </c>
      <c r="F71" s="6">
        <v>6</v>
      </c>
      <c r="G71" s="9">
        <v>45894.647430555597</v>
      </c>
      <c r="H71" s="9">
        <v>45895.647430555597</v>
      </c>
      <c r="I71" s="9">
        <v>45896.480763888903</v>
      </c>
      <c r="J71" s="9">
        <v>45896.522430555597</v>
      </c>
      <c r="K71" s="7" t="s">
        <v>198</v>
      </c>
      <c r="L71" s="10">
        <f t="shared" si="4"/>
        <v>24</v>
      </c>
      <c r="M71" s="10">
        <f t="shared" si="5"/>
        <v>19.999999999359716</v>
      </c>
      <c r="N71" s="10">
        <f t="shared" si="6"/>
        <v>45</v>
      </c>
      <c r="O71" s="7" t="str">
        <f>IF(ISBLANK(I71),"N/A",IF(((I71-H71)*24)&gt;INDEX(Dim_ServiceType!$E$2:$E$16,MATCH(E71,Dim_ServiceType!$A$2:$A$16,0)),"Yes","No"))</f>
        <v>Yes</v>
      </c>
      <c r="P71" s="7" t="str">
        <f t="shared" si="7"/>
        <v>Closed</v>
      </c>
      <c r="Q71" s="6">
        <v>4</v>
      </c>
      <c r="R71" s="7" t="s">
        <v>196</v>
      </c>
    </row>
    <row r="72" spans="1:18" x14ac:dyDescent="0.35">
      <c r="A72" s="6">
        <v>71</v>
      </c>
      <c r="B72" s="7" t="s">
        <v>268</v>
      </c>
      <c r="C72" s="6">
        <v>10</v>
      </c>
      <c r="D72" s="6">
        <v>6</v>
      </c>
      <c r="E72" s="6">
        <v>11</v>
      </c>
      <c r="F72" s="6">
        <v>14</v>
      </c>
      <c r="G72" s="9">
        <v>45845.838252314803</v>
      </c>
      <c r="H72" s="9">
        <v>45846.004918981504</v>
      </c>
      <c r="I72" s="9">
        <v>45846.4090856482</v>
      </c>
      <c r="J72" s="9">
        <v>45846.492418981499</v>
      </c>
      <c r="K72" s="7" t="s">
        <v>207</v>
      </c>
      <c r="L72" s="10">
        <f t="shared" si="4"/>
        <v>4.0000000008149073</v>
      </c>
      <c r="M72" s="10">
        <f t="shared" si="5"/>
        <v>9.7000000007101335</v>
      </c>
      <c r="N72" s="10">
        <f t="shared" si="6"/>
        <v>15.700000000710133</v>
      </c>
      <c r="O72" s="7" t="str">
        <f>IF(ISBLANK(I72),"N/A",IF(((I72-H72)*24)&gt;INDEX(Dim_ServiceType!$E$2:$E$16,MATCH(E72,Dim_ServiceType!$A$2:$A$16,0)),"Yes","No"))</f>
        <v>No</v>
      </c>
      <c r="P72" s="7" t="str">
        <f t="shared" si="7"/>
        <v>Closed</v>
      </c>
      <c r="Q72" s="6">
        <v>5</v>
      </c>
      <c r="R72" s="7" t="s">
        <v>196</v>
      </c>
    </row>
    <row r="73" spans="1:18" x14ac:dyDescent="0.35">
      <c r="A73" s="6">
        <v>72</v>
      </c>
      <c r="B73" s="7" t="s">
        <v>269</v>
      </c>
      <c r="C73" s="6">
        <v>1</v>
      </c>
      <c r="D73" s="6">
        <v>12</v>
      </c>
      <c r="E73" s="6">
        <v>3</v>
      </c>
      <c r="F73" s="6">
        <v>8</v>
      </c>
      <c r="G73" s="9">
        <v>45855.363842592596</v>
      </c>
      <c r="H73" s="9">
        <v>45855.447175925903</v>
      </c>
      <c r="I73" s="9">
        <v>45857.180509259299</v>
      </c>
      <c r="J73" s="9">
        <v>45857.347175925897</v>
      </c>
      <c r="K73" s="7" t="s">
        <v>207</v>
      </c>
      <c r="L73" s="10">
        <f t="shared" si="4"/>
        <v>1.9999999993597157</v>
      </c>
      <c r="M73" s="10">
        <f t="shared" si="5"/>
        <v>41.600000001490116</v>
      </c>
      <c r="N73" s="10">
        <f t="shared" si="6"/>
        <v>47.599999999220017</v>
      </c>
      <c r="O73" s="7" t="str">
        <f>IF(ISBLANK(I73),"N/A",IF(((I73-H73)*24)&gt;INDEX(Dim_ServiceType!$E$2:$E$16,MATCH(E73,Dim_ServiceType!$A$2:$A$16,0)),"Yes","No"))</f>
        <v>Yes</v>
      </c>
      <c r="P73" s="7" t="str">
        <f t="shared" si="7"/>
        <v>Closed</v>
      </c>
      <c r="Q73" s="6">
        <v>3</v>
      </c>
      <c r="R73" s="7" t="s">
        <v>196</v>
      </c>
    </row>
    <row r="74" spans="1:18" x14ac:dyDescent="0.35">
      <c r="A74" s="6">
        <v>73</v>
      </c>
      <c r="B74" s="7" t="s">
        <v>270</v>
      </c>
      <c r="C74" s="6">
        <v>1</v>
      </c>
      <c r="D74" s="6">
        <v>7</v>
      </c>
      <c r="E74" s="6">
        <v>6</v>
      </c>
      <c r="F74" s="6">
        <v>13</v>
      </c>
      <c r="G74" s="9">
        <v>45875.399687500001</v>
      </c>
      <c r="H74" s="9">
        <v>45875.733020833301</v>
      </c>
      <c r="I74" s="9">
        <v>45877.449687499997</v>
      </c>
      <c r="J74" s="9">
        <v>45877.699687499997</v>
      </c>
      <c r="K74" s="7" t="s">
        <v>195</v>
      </c>
      <c r="L74" s="10">
        <f t="shared" si="4"/>
        <v>7.9999999991850927</v>
      </c>
      <c r="M74" s="10">
        <f t="shared" si="5"/>
        <v>41.200000000710133</v>
      </c>
      <c r="N74" s="10">
        <f t="shared" si="6"/>
        <v>55.199999999895226</v>
      </c>
      <c r="O74" s="7" t="str">
        <f>IF(ISBLANK(I74),"N/A",IF(((I74-H74)*24)&gt;INDEX(Dim_ServiceType!$E$2:$E$16,MATCH(E74,Dim_ServiceType!$A$2:$A$16,0)),"Yes","No"))</f>
        <v>No</v>
      </c>
      <c r="P74" s="7" t="str">
        <f t="shared" si="7"/>
        <v>Closed</v>
      </c>
      <c r="Q74" s="6">
        <v>3</v>
      </c>
      <c r="R74" s="7" t="s">
        <v>196</v>
      </c>
    </row>
    <row r="75" spans="1:18" x14ac:dyDescent="0.35">
      <c r="A75" s="6">
        <v>74</v>
      </c>
      <c r="B75" s="7" t="s">
        <v>271</v>
      </c>
      <c r="C75" s="6">
        <v>14</v>
      </c>
      <c r="D75" s="6">
        <v>7</v>
      </c>
      <c r="E75" s="6">
        <v>14</v>
      </c>
      <c r="F75" s="6">
        <v>8</v>
      </c>
      <c r="G75" s="9">
        <v>45678.754652777803</v>
      </c>
      <c r="H75" s="9">
        <v>45679.004652777803</v>
      </c>
      <c r="I75" s="9">
        <v>45679.187986111101</v>
      </c>
      <c r="J75" s="9">
        <v>45680.187986111101</v>
      </c>
      <c r="K75" s="7" t="s">
        <v>195</v>
      </c>
      <c r="L75" s="10">
        <f t="shared" si="4"/>
        <v>6</v>
      </c>
      <c r="M75" s="10">
        <f t="shared" si="5"/>
        <v>4.3999999991501682</v>
      </c>
      <c r="N75" s="10">
        <f t="shared" si="6"/>
        <v>34.399999999150168</v>
      </c>
      <c r="O75" s="7" t="str">
        <f>IF(ISBLANK(I75),"N/A",IF(((I75-H75)*24)&gt;INDEX(Dim_ServiceType!$E$2:$E$16,MATCH(E75,Dim_ServiceType!$A$2:$A$16,0)),"Yes","No"))</f>
        <v>No</v>
      </c>
      <c r="P75" s="7" t="str">
        <f t="shared" si="7"/>
        <v>Closed</v>
      </c>
      <c r="Q75" s="6">
        <v>3</v>
      </c>
      <c r="R75" s="7" t="s">
        <v>196</v>
      </c>
    </row>
    <row r="76" spans="1:18" x14ac:dyDescent="0.35">
      <c r="A76" s="6">
        <v>75</v>
      </c>
      <c r="B76" s="7" t="s">
        <v>272</v>
      </c>
      <c r="C76" s="6">
        <v>6</v>
      </c>
      <c r="D76" s="6">
        <v>1</v>
      </c>
      <c r="E76" s="6">
        <v>3</v>
      </c>
      <c r="F76" s="6">
        <v>10</v>
      </c>
      <c r="G76" s="9">
        <v>45987.429340277798</v>
      </c>
      <c r="H76" s="9">
        <v>45987.679340277798</v>
      </c>
      <c r="I76" s="9">
        <v>45987.816840277803</v>
      </c>
      <c r="J76" s="9">
        <v>45987.858506944503</v>
      </c>
      <c r="K76" s="7" t="s">
        <v>198</v>
      </c>
      <c r="L76" s="10">
        <f t="shared" si="4"/>
        <v>6</v>
      </c>
      <c r="M76" s="10">
        <f t="shared" si="5"/>
        <v>3.3000000001047738</v>
      </c>
      <c r="N76" s="10">
        <f t="shared" si="6"/>
        <v>10.300000000919681</v>
      </c>
      <c r="O76" s="7" t="str">
        <f>IF(ISBLANK(I76),"N/A",IF(((I76-H76)*24)&gt;INDEX(Dim_ServiceType!$E$2:$E$16,MATCH(E76,Dim_ServiceType!$A$2:$A$16,0)),"Yes","No"))</f>
        <v>No</v>
      </c>
      <c r="P76" s="7" t="str">
        <f t="shared" si="7"/>
        <v>Closed</v>
      </c>
      <c r="Q76" s="6">
        <v>3</v>
      </c>
      <c r="R76" s="7" t="s">
        <v>196</v>
      </c>
    </row>
    <row r="77" spans="1:18" x14ac:dyDescent="0.35">
      <c r="A77" s="6">
        <v>76</v>
      </c>
      <c r="B77" s="7" t="s">
        <v>273</v>
      </c>
      <c r="C77" s="6">
        <v>13</v>
      </c>
      <c r="D77" s="6">
        <v>3</v>
      </c>
      <c r="E77" s="6">
        <v>7</v>
      </c>
      <c r="F77" s="6">
        <v>3</v>
      </c>
      <c r="G77" s="9">
        <v>45933.162314814799</v>
      </c>
      <c r="H77" s="9">
        <v>45933.912314814799</v>
      </c>
      <c r="I77" s="9">
        <v>45934.937314814801</v>
      </c>
      <c r="J77" s="9">
        <v>45935.103981481501</v>
      </c>
      <c r="K77" s="7" t="s">
        <v>198</v>
      </c>
      <c r="L77" s="10">
        <f t="shared" si="4"/>
        <v>18</v>
      </c>
      <c r="M77" s="10">
        <f t="shared" si="5"/>
        <v>24.600000000034925</v>
      </c>
      <c r="N77" s="10">
        <f t="shared" si="6"/>
        <v>46.600000000849832</v>
      </c>
      <c r="O77" s="7" t="str">
        <f>IF(ISBLANK(I77),"N/A",IF(((I77-H77)*24)&gt;INDEX(Dim_ServiceType!$E$2:$E$16,MATCH(E77,Dim_ServiceType!$A$2:$A$16,0)),"Yes","No"))</f>
        <v>Yes</v>
      </c>
      <c r="P77" s="7" t="str">
        <f t="shared" si="7"/>
        <v>Closed</v>
      </c>
      <c r="Q77" s="6">
        <v>2</v>
      </c>
      <c r="R77" s="7" t="s">
        <v>196</v>
      </c>
    </row>
    <row r="78" spans="1:18" x14ac:dyDescent="0.35">
      <c r="A78" s="6">
        <v>77</v>
      </c>
      <c r="B78" s="7" t="s">
        <v>274</v>
      </c>
      <c r="C78" s="6">
        <v>10</v>
      </c>
      <c r="D78" s="6">
        <v>5</v>
      </c>
      <c r="E78" s="6">
        <v>11</v>
      </c>
      <c r="F78" s="6">
        <v>10</v>
      </c>
      <c r="G78" s="9">
        <v>45922.864976851903</v>
      </c>
      <c r="H78" s="9">
        <v>45923.198310185202</v>
      </c>
      <c r="I78" s="9"/>
      <c r="J78" s="9"/>
      <c r="K78" s="7" t="s">
        <v>195</v>
      </c>
      <c r="L78" s="10">
        <f t="shared" si="4"/>
        <v>7.9999999991850927</v>
      </c>
      <c r="M78" s="10" t="str">
        <f t="shared" si="5"/>
        <v/>
      </c>
      <c r="N78" s="10" t="str">
        <f t="shared" si="6"/>
        <v/>
      </c>
      <c r="O78" s="7" t="str">
        <f>IF(ISBLANK(I78),"N/A",IF(((I78-H78)*24)&gt;INDEX(Dim_ServiceType!$E$2:$E$16,MATCH(E78,Dim_ServiceType!$A$2:$A$16,0)),"Yes","No"))</f>
        <v>N/A</v>
      </c>
      <c r="P78" s="7" t="str">
        <f t="shared" si="7"/>
        <v>In Progress</v>
      </c>
      <c r="Q78" s="6"/>
      <c r="R78" s="7"/>
    </row>
    <row r="79" spans="1:18" x14ac:dyDescent="0.35">
      <c r="A79" s="6">
        <v>78</v>
      </c>
      <c r="B79" s="7" t="s">
        <v>275</v>
      </c>
      <c r="C79" s="6">
        <v>14</v>
      </c>
      <c r="D79" s="6">
        <v>5</v>
      </c>
      <c r="E79" s="6">
        <v>11</v>
      </c>
      <c r="F79" s="6">
        <v>9</v>
      </c>
      <c r="G79" s="9">
        <v>45954.220914351899</v>
      </c>
      <c r="H79" s="9">
        <v>45954.387581018498</v>
      </c>
      <c r="I79" s="9">
        <v>45955.4750810185</v>
      </c>
      <c r="J79" s="9">
        <v>45955.7250810185</v>
      </c>
      <c r="K79" s="7" t="s">
        <v>198</v>
      </c>
      <c r="L79" s="10">
        <f t="shared" si="4"/>
        <v>3.9999999983701855</v>
      </c>
      <c r="M79" s="10">
        <f t="shared" si="5"/>
        <v>26.100000000034925</v>
      </c>
      <c r="N79" s="10">
        <f t="shared" si="6"/>
        <v>36.09999999840511</v>
      </c>
      <c r="O79" s="7" t="str">
        <f>IF(ISBLANK(I79),"N/A",IF(((I79-H79)*24)&gt;INDEX(Dim_ServiceType!$E$2:$E$16,MATCH(E79,Dim_ServiceType!$A$2:$A$16,0)),"Yes","No"))</f>
        <v>Yes</v>
      </c>
      <c r="P79" s="7" t="str">
        <f t="shared" si="7"/>
        <v>Closed</v>
      </c>
      <c r="Q79" s="6">
        <v>5</v>
      </c>
      <c r="R79" s="7" t="s">
        <v>193</v>
      </c>
    </row>
    <row r="80" spans="1:18" x14ac:dyDescent="0.35">
      <c r="A80" s="6">
        <v>79</v>
      </c>
      <c r="B80" s="7" t="s">
        <v>276</v>
      </c>
      <c r="C80" s="6">
        <v>2</v>
      </c>
      <c r="D80" s="6">
        <v>15</v>
      </c>
      <c r="E80" s="6">
        <v>2</v>
      </c>
      <c r="F80" s="6">
        <v>1</v>
      </c>
      <c r="G80" s="9">
        <v>45971.098229166702</v>
      </c>
      <c r="H80" s="9">
        <v>45971.848229166702</v>
      </c>
      <c r="I80" s="9">
        <v>45972.164895833303</v>
      </c>
      <c r="J80" s="9">
        <v>45972.664895833303</v>
      </c>
      <c r="K80" s="7" t="s">
        <v>207</v>
      </c>
      <c r="L80" s="10">
        <f t="shared" si="4"/>
        <v>18</v>
      </c>
      <c r="M80" s="10">
        <f t="shared" si="5"/>
        <v>7.5999999984051101</v>
      </c>
      <c r="N80" s="10">
        <f t="shared" si="6"/>
        <v>37.59999999840511</v>
      </c>
      <c r="O80" s="7" t="str">
        <f>IF(ISBLANK(I80),"N/A",IF(((I80-H80)*24)&gt;INDEX(Dim_ServiceType!$E$2:$E$16,MATCH(E80,Dim_ServiceType!$A$2:$A$16,0)),"Yes","No"))</f>
        <v>Yes</v>
      </c>
      <c r="P80" s="7" t="str">
        <f t="shared" si="7"/>
        <v>Closed</v>
      </c>
      <c r="Q80" s="6">
        <v>5</v>
      </c>
      <c r="R80" s="7" t="s">
        <v>196</v>
      </c>
    </row>
    <row r="81" spans="1:18" x14ac:dyDescent="0.35">
      <c r="A81" s="6">
        <v>80</v>
      </c>
      <c r="B81" s="7" t="s">
        <v>277</v>
      </c>
      <c r="C81" s="6">
        <v>15</v>
      </c>
      <c r="D81" s="6">
        <v>2</v>
      </c>
      <c r="E81" s="6">
        <v>3</v>
      </c>
      <c r="F81" s="6">
        <v>15</v>
      </c>
      <c r="G81" s="9">
        <v>45750.953333333302</v>
      </c>
      <c r="H81" s="9">
        <v>45751.036666666703</v>
      </c>
      <c r="I81" s="9"/>
      <c r="J81" s="9"/>
      <c r="K81" s="7" t="s">
        <v>200</v>
      </c>
      <c r="L81" s="10">
        <f t="shared" si="4"/>
        <v>2.0000000016298145</v>
      </c>
      <c r="M81" s="10" t="str">
        <f t="shared" si="5"/>
        <v/>
      </c>
      <c r="N81" s="10" t="str">
        <f t="shared" si="6"/>
        <v/>
      </c>
      <c r="O81" s="7" t="str">
        <f>IF(ISBLANK(I81),"N/A",IF(((I81-H81)*24)&gt;INDEX(Dim_ServiceType!$E$2:$E$16,MATCH(E81,Dim_ServiceType!$A$2:$A$16,0)),"Yes","No"))</f>
        <v>N/A</v>
      </c>
      <c r="P81" s="7" t="str">
        <f t="shared" si="7"/>
        <v>In Progress</v>
      </c>
      <c r="Q81" s="6"/>
      <c r="R81" s="7"/>
    </row>
    <row r="82" spans="1:18" x14ac:dyDescent="0.35">
      <c r="A82" s="6">
        <v>81</v>
      </c>
      <c r="B82" s="7" t="s">
        <v>278</v>
      </c>
      <c r="C82" s="6">
        <v>12</v>
      </c>
      <c r="D82" s="6">
        <v>5</v>
      </c>
      <c r="E82" s="6">
        <v>6</v>
      </c>
      <c r="F82" s="6">
        <v>13</v>
      </c>
      <c r="G82" s="9">
        <v>45997.574583333299</v>
      </c>
      <c r="H82" s="9"/>
      <c r="I82" s="9"/>
      <c r="J82" s="9"/>
      <c r="K82" s="7" t="s">
        <v>192</v>
      </c>
      <c r="L82" s="10" t="str">
        <f t="shared" si="4"/>
        <v/>
      </c>
      <c r="M82" s="10" t="str">
        <f t="shared" si="5"/>
        <v/>
      </c>
      <c r="N82" s="10" t="str">
        <f t="shared" si="6"/>
        <v/>
      </c>
      <c r="O82" s="7" t="str">
        <f>IF(ISBLANK(I82),"N/A",IF(((I82-H82)*24)&gt;INDEX(Dim_ServiceType!$E$2:$E$16,MATCH(E82,Dim_ServiceType!$A$2:$A$16,0)),"Yes","No"))</f>
        <v>N/A</v>
      </c>
      <c r="P82" s="7" t="str">
        <f t="shared" si="7"/>
        <v>Open (Unassigned)</v>
      </c>
      <c r="Q82" s="6"/>
      <c r="R82" s="7"/>
    </row>
    <row r="83" spans="1:18" x14ac:dyDescent="0.35">
      <c r="A83" s="6">
        <v>82</v>
      </c>
      <c r="B83" s="7" t="s">
        <v>279</v>
      </c>
      <c r="C83" s="6">
        <v>14</v>
      </c>
      <c r="D83" s="6">
        <v>6</v>
      </c>
      <c r="E83" s="6">
        <v>13</v>
      </c>
      <c r="F83" s="6">
        <v>4</v>
      </c>
      <c r="G83" s="9">
        <v>45979.818206018499</v>
      </c>
      <c r="H83" s="9">
        <v>45979.8598726852</v>
      </c>
      <c r="I83" s="9">
        <v>45981.147372685198</v>
      </c>
      <c r="J83" s="9">
        <v>45981.230706018498</v>
      </c>
      <c r="K83" s="7" t="s">
        <v>195</v>
      </c>
      <c r="L83" s="10">
        <f t="shared" si="4"/>
        <v>1.0000000008149073</v>
      </c>
      <c r="M83" s="10">
        <f t="shared" si="5"/>
        <v>30.899999999965075</v>
      </c>
      <c r="N83" s="10">
        <f t="shared" si="6"/>
        <v>33.899999999965075</v>
      </c>
      <c r="O83" s="7" t="str">
        <f>IF(ISBLANK(I83),"N/A",IF(((I83-H83)*24)&gt;INDEX(Dim_ServiceType!$E$2:$E$16,MATCH(E83,Dim_ServiceType!$A$2:$A$16,0)),"Yes","No"))</f>
        <v>Yes</v>
      </c>
      <c r="P83" s="7" t="str">
        <f t="shared" si="7"/>
        <v>Closed</v>
      </c>
      <c r="Q83" s="6">
        <v>5</v>
      </c>
      <c r="R83" s="7" t="s">
        <v>193</v>
      </c>
    </row>
    <row r="84" spans="1:18" x14ac:dyDescent="0.35">
      <c r="A84" s="6">
        <v>83</v>
      </c>
      <c r="B84" s="7" t="s">
        <v>280</v>
      </c>
      <c r="C84" s="6">
        <v>5</v>
      </c>
      <c r="D84" s="6">
        <v>15</v>
      </c>
      <c r="E84" s="6">
        <v>3</v>
      </c>
      <c r="F84" s="6">
        <v>4</v>
      </c>
      <c r="G84" s="9">
        <v>45796.956365740698</v>
      </c>
      <c r="H84" s="9">
        <v>45797.206365740698</v>
      </c>
      <c r="I84" s="9">
        <v>45797.427199074104</v>
      </c>
      <c r="J84" s="9">
        <v>45797.927199074104</v>
      </c>
      <c r="K84" s="7" t="s">
        <v>195</v>
      </c>
      <c r="L84" s="10">
        <f t="shared" si="4"/>
        <v>6</v>
      </c>
      <c r="M84" s="10">
        <f t="shared" si="5"/>
        <v>5.3000000017345883</v>
      </c>
      <c r="N84" s="10">
        <f t="shared" si="6"/>
        <v>23.300000001734588</v>
      </c>
      <c r="O84" s="7" t="str">
        <f>IF(ISBLANK(I84),"N/A",IF(((I84-H84)*24)&gt;INDEX(Dim_ServiceType!$E$2:$E$16,MATCH(E84,Dim_ServiceType!$A$2:$A$16,0)),"Yes","No"))</f>
        <v>No</v>
      </c>
      <c r="P84" s="7" t="str">
        <f t="shared" si="7"/>
        <v>Closed</v>
      </c>
      <c r="Q84" s="6">
        <v>4</v>
      </c>
      <c r="R84" s="7" t="s">
        <v>196</v>
      </c>
    </row>
    <row r="85" spans="1:18" x14ac:dyDescent="0.35">
      <c r="A85" s="6">
        <v>84</v>
      </c>
      <c r="B85" s="7" t="s">
        <v>281</v>
      </c>
      <c r="C85" s="6">
        <v>14</v>
      </c>
      <c r="D85" s="6">
        <v>15</v>
      </c>
      <c r="E85" s="6">
        <v>9</v>
      </c>
      <c r="F85" s="6">
        <v>11</v>
      </c>
      <c r="G85" s="9">
        <v>45966.722094907404</v>
      </c>
      <c r="H85" s="9">
        <v>45966.972094907404</v>
      </c>
      <c r="I85" s="9">
        <v>45968.6929282407</v>
      </c>
      <c r="J85" s="9">
        <v>45968.734594907401</v>
      </c>
      <c r="K85" s="7" t="s">
        <v>207</v>
      </c>
      <c r="L85" s="10">
        <f t="shared" si="4"/>
        <v>6</v>
      </c>
      <c r="M85" s="10">
        <f t="shared" si="5"/>
        <v>41.299999999115244</v>
      </c>
      <c r="N85" s="10">
        <f t="shared" si="6"/>
        <v>48.299999999930151</v>
      </c>
      <c r="O85" s="7" t="str">
        <f>IF(ISBLANK(I85),"N/A",IF(((I85-H85)*24)&gt;INDEX(Dim_ServiceType!$E$2:$E$16,MATCH(E85,Dim_ServiceType!$A$2:$A$16,0)),"Yes","No"))</f>
        <v>No</v>
      </c>
      <c r="P85" s="7" t="str">
        <f t="shared" si="7"/>
        <v>Closed</v>
      </c>
      <c r="Q85" s="6">
        <v>5</v>
      </c>
      <c r="R85" s="7" t="s">
        <v>193</v>
      </c>
    </row>
    <row r="86" spans="1:18" x14ac:dyDescent="0.35">
      <c r="A86" s="6">
        <v>85</v>
      </c>
      <c r="B86" s="7" t="s">
        <v>282</v>
      </c>
      <c r="C86" s="6">
        <v>13</v>
      </c>
      <c r="D86" s="6">
        <v>13</v>
      </c>
      <c r="E86" s="6">
        <v>6</v>
      </c>
      <c r="F86" s="6">
        <v>1</v>
      </c>
      <c r="G86" s="9">
        <v>45990.352812500001</v>
      </c>
      <c r="H86" s="9">
        <v>45990.394479166702</v>
      </c>
      <c r="I86" s="9">
        <v>45991.419479166703</v>
      </c>
      <c r="J86" s="9">
        <v>45992.419479166703</v>
      </c>
      <c r="K86" s="7" t="s">
        <v>195</v>
      </c>
      <c r="L86" s="10">
        <f t="shared" si="4"/>
        <v>1.0000000008149073</v>
      </c>
      <c r="M86" s="10">
        <f t="shared" si="5"/>
        <v>24.600000000034925</v>
      </c>
      <c r="N86" s="10">
        <f t="shared" si="6"/>
        <v>49.600000000849832</v>
      </c>
      <c r="O86" s="7" t="str">
        <f>IF(ISBLANK(I86),"N/A",IF(((I86-H86)*24)&gt;INDEX(Dim_ServiceType!$E$2:$E$16,MATCH(E86,Dim_ServiceType!$A$2:$A$16,0)),"Yes","No"))</f>
        <v>No</v>
      </c>
      <c r="P86" s="7" t="str">
        <f t="shared" si="7"/>
        <v>Closed</v>
      </c>
      <c r="Q86" s="6">
        <v>3</v>
      </c>
      <c r="R86" s="7" t="s">
        <v>196</v>
      </c>
    </row>
    <row r="87" spans="1:18" x14ac:dyDescent="0.35">
      <c r="A87" s="6">
        <v>86</v>
      </c>
      <c r="B87" s="7" t="s">
        <v>283</v>
      </c>
      <c r="C87" s="6">
        <v>3</v>
      </c>
      <c r="D87" s="6">
        <v>14</v>
      </c>
      <c r="E87" s="6">
        <v>15</v>
      </c>
      <c r="F87" s="6">
        <v>11</v>
      </c>
      <c r="G87" s="9">
        <v>45964.777534722198</v>
      </c>
      <c r="H87" s="9">
        <v>45964.860868055599</v>
      </c>
      <c r="I87" s="9">
        <v>45965.990034722199</v>
      </c>
      <c r="J87" s="9">
        <v>45966.240034722199</v>
      </c>
      <c r="K87" s="7" t="s">
        <v>198</v>
      </c>
      <c r="L87" s="10">
        <f t="shared" si="4"/>
        <v>2.0000000016298145</v>
      </c>
      <c r="M87" s="10">
        <f t="shared" si="5"/>
        <v>27.09999999840511</v>
      </c>
      <c r="N87" s="10">
        <f t="shared" si="6"/>
        <v>35.100000000034925</v>
      </c>
      <c r="O87" s="7" t="str">
        <f>IF(ISBLANK(I87),"N/A",IF(((I87-H87)*24)&gt;INDEX(Dim_ServiceType!$E$2:$E$16,MATCH(E87,Dim_ServiceType!$A$2:$A$16,0)),"Yes","No"))</f>
        <v>Yes</v>
      </c>
      <c r="P87" s="7" t="str">
        <f t="shared" si="7"/>
        <v>Closed</v>
      </c>
      <c r="Q87" s="6">
        <v>5</v>
      </c>
      <c r="R87" s="7" t="s">
        <v>196</v>
      </c>
    </row>
    <row r="88" spans="1:18" x14ac:dyDescent="0.35">
      <c r="A88" s="6">
        <v>87</v>
      </c>
      <c r="B88" s="7" t="s">
        <v>284</v>
      </c>
      <c r="C88" s="6">
        <v>12</v>
      </c>
      <c r="D88" s="6">
        <v>11</v>
      </c>
      <c r="E88" s="6">
        <v>4</v>
      </c>
      <c r="F88" s="6">
        <v>12</v>
      </c>
      <c r="G88" s="9">
        <v>45658.123391203699</v>
      </c>
      <c r="H88" s="9">
        <v>45658.144224536998</v>
      </c>
      <c r="I88" s="9">
        <v>45658.565057870401</v>
      </c>
      <c r="J88" s="9">
        <v>45658.815057870401</v>
      </c>
      <c r="K88" s="7" t="s">
        <v>207</v>
      </c>
      <c r="L88" s="10">
        <f t="shared" si="4"/>
        <v>0.49999999918509275</v>
      </c>
      <c r="M88" s="10">
        <f t="shared" si="5"/>
        <v>10.100000001664739</v>
      </c>
      <c r="N88" s="10">
        <f t="shared" si="6"/>
        <v>16.600000000849832</v>
      </c>
      <c r="O88" s="7" t="str">
        <f>IF(ISBLANK(I88),"N/A",IF(((I88-H88)*24)&gt;INDEX(Dim_ServiceType!$E$2:$E$16,MATCH(E88,Dim_ServiceType!$A$2:$A$16,0)),"Yes","No"))</f>
        <v>No</v>
      </c>
      <c r="P88" s="7" t="str">
        <f t="shared" si="7"/>
        <v>Closed</v>
      </c>
      <c r="Q88" s="6">
        <v>5</v>
      </c>
      <c r="R88" s="7" t="s">
        <v>196</v>
      </c>
    </row>
    <row r="89" spans="1:18" x14ac:dyDescent="0.35">
      <c r="A89" s="6">
        <v>88</v>
      </c>
      <c r="B89" s="7" t="s">
        <v>285</v>
      </c>
      <c r="C89" s="6">
        <v>13</v>
      </c>
      <c r="D89" s="6">
        <v>10</v>
      </c>
      <c r="E89" s="6">
        <v>6</v>
      </c>
      <c r="F89" s="6">
        <v>12</v>
      </c>
      <c r="G89" s="9">
        <v>45857.612337963001</v>
      </c>
      <c r="H89" s="9">
        <v>45858.362337963001</v>
      </c>
      <c r="I89" s="9">
        <v>45860.899837962999</v>
      </c>
      <c r="J89" s="9">
        <v>45861.066504629598</v>
      </c>
      <c r="K89" s="7" t="s">
        <v>207</v>
      </c>
      <c r="L89" s="10">
        <f t="shared" si="4"/>
        <v>18</v>
      </c>
      <c r="M89" s="10">
        <f t="shared" si="5"/>
        <v>60.899999999965075</v>
      </c>
      <c r="N89" s="10">
        <f t="shared" si="6"/>
        <v>82.899999998335261</v>
      </c>
      <c r="O89" s="7" t="str">
        <f>IF(ISBLANK(I89),"N/A",IF(((I89-H89)*24)&gt;INDEX(Dim_ServiceType!$E$2:$E$16,MATCH(E89,Dim_ServiceType!$A$2:$A$16,0)),"Yes","No"))</f>
        <v>Yes</v>
      </c>
      <c r="P89" s="7" t="str">
        <f t="shared" si="7"/>
        <v>Closed</v>
      </c>
      <c r="Q89" s="6">
        <v>3</v>
      </c>
      <c r="R89" s="7" t="s">
        <v>196</v>
      </c>
    </row>
    <row r="90" spans="1:18" x14ac:dyDescent="0.35">
      <c r="A90" s="6">
        <v>89</v>
      </c>
      <c r="B90" s="7" t="s">
        <v>286</v>
      </c>
      <c r="C90" s="6">
        <v>7</v>
      </c>
      <c r="D90" s="6">
        <v>5</v>
      </c>
      <c r="E90" s="6">
        <v>10</v>
      </c>
      <c r="F90" s="6">
        <v>14</v>
      </c>
      <c r="G90" s="9">
        <v>45980.355914351901</v>
      </c>
      <c r="H90" s="9">
        <v>45980.376747685201</v>
      </c>
      <c r="I90" s="9">
        <v>45980.697581018503</v>
      </c>
      <c r="J90" s="9">
        <v>45981.697581018503</v>
      </c>
      <c r="K90" s="7" t="s">
        <v>207</v>
      </c>
      <c r="L90" s="10">
        <f t="shared" si="4"/>
        <v>0.49999999918509275</v>
      </c>
      <c r="M90" s="10">
        <f t="shared" si="5"/>
        <v>7.6999999992549419</v>
      </c>
      <c r="N90" s="10">
        <f t="shared" si="6"/>
        <v>32.199999998440035</v>
      </c>
      <c r="O90" s="7" t="str">
        <f>IF(ISBLANK(I90),"N/A",IF(((I90-H90)*24)&gt;INDEX(Dim_ServiceType!$E$2:$E$16,MATCH(E90,Dim_ServiceType!$A$2:$A$16,0)),"Yes","No"))</f>
        <v>Yes</v>
      </c>
      <c r="P90" s="7" t="str">
        <f t="shared" si="7"/>
        <v>Closed</v>
      </c>
      <c r="Q90" s="6">
        <v>3</v>
      </c>
      <c r="R90" s="7" t="s">
        <v>196</v>
      </c>
    </row>
    <row r="91" spans="1:18" x14ac:dyDescent="0.35">
      <c r="A91" s="6">
        <v>90</v>
      </c>
      <c r="B91" s="7" t="s">
        <v>287</v>
      </c>
      <c r="C91" s="6">
        <v>2</v>
      </c>
      <c r="D91" s="6">
        <v>13</v>
      </c>
      <c r="E91" s="6">
        <v>14</v>
      </c>
      <c r="F91" s="6">
        <v>14</v>
      </c>
      <c r="G91" s="9">
        <v>45985.226099537002</v>
      </c>
      <c r="H91" s="9">
        <v>45985.559432870403</v>
      </c>
      <c r="I91" s="9">
        <v>45985.892766203702</v>
      </c>
      <c r="J91" s="9">
        <v>45986.892766203702</v>
      </c>
      <c r="K91" s="7" t="s">
        <v>195</v>
      </c>
      <c r="L91" s="10">
        <f t="shared" si="4"/>
        <v>8.0000000016298145</v>
      </c>
      <c r="M91" s="10">
        <f t="shared" si="5"/>
        <v>7.9999999991850927</v>
      </c>
      <c r="N91" s="10">
        <f t="shared" si="6"/>
        <v>40.000000000814907</v>
      </c>
      <c r="O91" s="7" t="str">
        <f>IF(ISBLANK(I91),"N/A",IF(((I91-H91)*24)&gt;INDEX(Dim_ServiceType!$E$2:$E$16,MATCH(E91,Dim_ServiceType!$A$2:$A$16,0)),"Yes","No"))</f>
        <v>No</v>
      </c>
      <c r="P91" s="7" t="str">
        <f t="shared" si="7"/>
        <v>Closed</v>
      </c>
      <c r="Q91" s="6">
        <v>4</v>
      </c>
      <c r="R91" s="7" t="s">
        <v>196</v>
      </c>
    </row>
    <row r="92" spans="1:18" x14ac:dyDescent="0.35">
      <c r="A92" s="6">
        <v>91</v>
      </c>
      <c r="B92" s="7" t="s">
        <v>288</v>
      </c>
      <c r="C92" s="6">
        <v>10</v>
      </c>
      <c r="D92" s="6">
        <v>3</v>
      </c>
      <c r="E92" s="6">
        <v>15</v>
      </c>
      <c r="F92" s="6">
        <v>10</v>
      </c>
      <c r="G92" s="9">
        <v>45762.826354166697</v>
      </c>
      <c r="H92" s="9">
        <v>45762.909687500003</v>
      </c>
      <c r="I92" s="9">
        <v>45764.105520833298</v>
      </c>
      <c r="J92" s="9">
        <v>45764.126354166699</v>
      </c>
      <c r="K92" s="7" t="s">
        <v>207</v>
      </c>
      <c r="L92" s="10">
        <f t="shared" si="4"/>
        <v>1.9999999993597157</v>
      </c>
      <c r="M92" s="10">
        <f t="shared" si="5"/>
        <v>28.699999999080319</v>
      </c>
      <c r="N92" s="10">
        <f t="shared" si="6"/>
        <v>31.200000000069849</v>
      </c>
      <c r="O92" s="7" t="str">
        <f>IF(ISBLANK(I92),"N/A",IF(((I92-H92)*24)&gt;INDEX(Dim_ServiceType!$E$2:$E$16,MATCH(E92,Dim_ServiceType!$A$2:$A$16,0)),"Yes","No"))</f>
        <v>Yes</v>
      </c>
      <c r="P92" s="7" t="str">
        <f t="shared" si="7"/>
        <v>Closed</v>
      </c>
      <c r="Q92" s="6">
        <v>3</v>
      </c>
      <c r="R92" s="7" t="s">
        <v>196</v>
      </c>
    </row>
    <row r="93" spans="1:18" x14ac:dyDescent="0.35">
      <c r="A93" s="6">
        <v>92</v>
      </c>
      <c r="B93" s="7" t="s">
        <v>289</v>
      </c>
      <c r="C93" s="6">
        <v>2</v>
      </c>
      <c r="D93" s="6">
        <v>13</v>
      </c>
      <c r="E93" s="6">
        <v>4</v>
      </c>
      <c r="F93" s="6">
        <v>7</v>
      </c>
      <c r="G93" s="9">
        <v>45981.654282407399</v>
      </c>
      <c r="H93" s="9">
        <v>45981.779282407399</v>
      </c>
      <c r="I93" s="9">
        <v>45982.487615740698</v>
      </c>
      <c r="J93" s="9">
        <v>45982.570949074099</v>
      </c>
      <c r="K93" s="7" t="s">
        <v>198</v>
      </c>
      <c r="L93" s="10">
        <f t="shared" si="4"/>
        <v>3</v>
      </c>
      <c r="M93" s="10">
        <f t="shared" si="5"/>
        <v>16.999999999185093</v>
      </c>
      <c r="N93" s="10">
        <f t="shared" si="6"/>
        <v>22.000000000814907</v>
      </c>
      <c r="O93" s="7" t="str">
        <f>IF(ISBLANK(I93),"N/A",IF(((I93-H93)*24)&gt;INDEX(Dim_ServiceType!$E$2:$E$16,MATCH(E93,Dim_ServiceType!$A$2:$A$16,0)),"Yes","No"))</f>
        <v>No</v>
      </c>
      <c r="P93" s="7" t="str">
        <f t="shared" si="7"/>
        <v>Closed</v>
      </c>
      <c r="Q93" s="6">
        <v>4</v>
      </c>
      <c r="R93" s="7" t="s">
        <v>196</v>
      </c>
    </row>
    <row r="94" spans="1:18" x14ac:dyDescent="0.35">
      <c r="A94" s="6">
        <v>93</v>
      </c>
      <c r="B94" s="7" t="s">
        <v>290</v>
      </c>
      <c r="C94" s="6">
        <v>9</v>
      </c>
      <c r="D94" s="6">
        <v>10</v>
      </c>
      <c r="E94" s="6">
        <v>6</v>
      </c>
      <c r="F94" s="6">
        <v>7</v>
      </c>
      <c r="G94" s="9">
        <v>45755.886527777802</v>
      </c>
      <c r="H94" s="9">
        <v>45756.053194444401</v>
      </c>
      <c r="I94" s="9">
        <v>45758.336527777799</v>
      </c>
      <c r="J94" s="9">
        <v>45759.336527777799</v>
      </c>
      <c r="K94" s="7" t="s">
        <v>200</v>
      </c>
      <c r="L94" s="10">
        <f t="shared" si="4"/>
        <v>3.9999999983701855</v>
      </c>
      <c r="M94" s="10">
        <f t="shared" si="5"/>
        <v>54.800000001559965</v>
      </c>
      <c r="N94" s="10">
        <f t="shared" si="6"/>
        <v>82.799999999930151</v>
      </c>
      <c r="O94" s="7" t="str">
        <f>IF(ISBLANK(I94),"N/A",IF(((I94-H94)*24)&gt;INDEX(Dim_ServiceType!$E$2:$E$16,MATCH(E94,Dim_ServiceType!$A$2:$A$16,0)),"Yes","No"))</f>
        <v>Yes</v>
      </c>
      <c r="P94" s="7" t="str">
        <f t="shared" si="7"/>
        <v>Closed</v>
      </c>
      <c r="Q94" s="6">
        <v>3</v>
      </c>
      <c r="R94" s="7" t="s">
        <v>196</v>
      </c>
    </row>
    <row r="95" spans="1:18" x14ac:dyDescent="0.35">
      <c r="A95" s="6">
        <v>94</v>
      </c>
      <c r="B95" s="7" t="s">
        <v>291</v>
      </c>
      <c r="C95" s="6">
        <v>15</v>
      </c>
      <c r="D95" s="6">
        <v>8</v>
      </c>
      <c r="E95" s="6">
        <v>10</v>
      </c>
      <c r="F95" s="6">
        <v>1</v>
      </c>
      <c r="G95" s="9">
        <v>45667.876770833303</v>
      </c>
      <c r="H95" s="9">
        <v>45668.001770833303</v>
      </c>
      <c r="I95" s="9">
        <v>45668.189270833303</v>
      </c>
      <c r="J95" s="9">
        <v>45668.689270833303</v>
      </c>
      <c r="K95" s="7" t="s">
        <v>207</v>
      </c>
      <c r="L95" s="10">
        <f t="shared" si="4"/>
        <v>3</v>
      </c>
      <c r="M95" s="10">
        <f t="shared" si="5"/>
        <v>4.5</v>
      </c>
      <c r="N95" s="10">
        <f t="shared" si="6"/>
        <v>19.5</v>
      </c>
      <c r="O95" s="7" t="str">
        <f>IF(ISBLANK(I95),"N/A",IF(((I95-H95)*24)&gt;INDEX(Dim_ServiceType!$E$2:$E$16,MATCH(E95,Dim_ServiceType!$A$2:$A$16,0)),"Yes","No"))</f>
        <v>No</v>
      </c>
      <c r="P95" s="7" t="str">
        <f t="shared" si="7"/>
        <v>Closed</v>
      </c>
      <c r="Q95" s="6">
        <v>5</v>
      </c>
      <c r="R95" s="7" t="s">
        <v>196</v>
      </c>
    </row>
    <row r="96" spans="1:18" x14ac:dyDescent="0.35">
      <c r="A96" s="6">
        <v>95</v>
      </c>
      <c r="B96" s="7" t="s">
        <v>292</v>
      </c>
      <c r="C96" s="6">
        <v>1</v>
      </c>
      <c r="D96" s="6">
        <v>5</v>
      </c>
      <c r="E96" s="6">
        <v>14</v>
      </c>
      <c r="F96" s="6">
        <v>13</v>
      </c>
      <c r="G96" s="9">
        <v>46006.387349536999</v>
      </c>
      <c r="H96" s="9"/>
      <c r="I96" s="9"/>
      <c r="J96" s="9"/>
      <c r="K96" s="7" t="s">
        <v>195</v>
      </c>
      <c r="L96" s="10" t="str">
        <f t="shared" si="4"/>
        <v/>
      </c>
      <c r="M96" s="10" t="str">
        <f t="shared" si="5"/>
        <v/>
      </c>
      <c r="N96" s="10" t="str">
        <f t="shared" si="6"/>
        <v/>
      </c>
      <c r="O96" s="7" t="str">
        <f>IF(ISBLANK(I96),"N/A",IF(((I96-H96)*24)&gt;INDEX(Dim_ServiceType!$E$2:$E$16,MATCH(E96,Dim_ServiceType!$A$2:$A$16,0)),"Yes","No"))</f>
        <v>N/A</v>
      </c>
      <c r="P96" s="7" t="str">
        <f t="shared" si="7"/>
        <v>Open (Unassigned)</v>
      </c>
      <c r="Q96" s="6"/>
      <c r="R96" s="7"/>
    </row>
    <row r="97" spans="1:18" x14ac:dyDescent="0.35">
      <c r="A97" s="6">
        <v>96</v>
      </c>
      <c r="B97" s="7" t="s">
        <v>293</v>
      </c>
      <c r="C97" s="6">
        <v>8</v>
      </c>
      <c r="D97" s="6">
        <v>2</v>
      </c>
      <c r="E97" s="6">
        <v>11</v>
      </c>
      <c r="F97" s="6">
        <v>10</v>
      </c>
      <c r="G97" s="9">
        <v>45996.423831018503</v>
      </c>
      <c r="H97" s="9">
        <v>45996.673831018503</v>
      </c>
      <c r="I97" s="9">
        <v>45997.036331018498</v>
      </c>
      <c r="J97" s="9">
        <v>45997.286331018498</v>
      </c>
      <c r="K97" s="7" t="s">
        <v>198</v>
      </c>
      <c r="L97" s="10">
        <f t="shared" si="4"/>
        <v>6</v>
      </c>
      <c r="M97" s="10">
        <f t="shared" si="5"/>
        <v>8.6999999998952262</v>
      </c>
      <c r="N97" s="10">
        <f t="shared" si="6"/>
        <v>20.699999999895226</v>
      </c>
      <c r="O97" s="7" t="str">
        <f>IF(ISBLANK(I97),"N/A",IF(((I97-H97)*24)&gt;INDEX(Dim_ServiceType!$E$2:$E$16,MATCH(E97,Dim_ServiceType!$A$2:$A$16,0)),"Yes","No"))</f>
        <v>No</v>
      </c>
      <c r="P97" s="7" t="str">
        <f t="shared" si="7"/>
        <v>Closed</v>
      </c>
      <c r="Q97" s="6">
        <v>4</v>
      </c>
      <c r="R97" s="7" t="s">
        <v>193</v>
      </c>
    </row>
    <row r="98" spans="1:18" x14ac:dyDescent="0.35">
      <c r="A98" s="6">
        <v>97</v>
      </c>
      <c r="B98" s="7" t="s">
        <v>294</v>
      </c>
      <c r="C98" s="6">
        <v>3</v>
      </c>
      <c r="D98" s="6">
        <v>14</v>
      </c>
      <c r="E98" s="6">
        <v>1</v>
      </c>
      <c r="F98" s="6">
        <v>3</v>
      </c>
      <c r="G98" s="9">
        <v>45849.741076388898</v>
      </c>
      <c r="H98" s="9">
        <v>45850.741076388898</v>
      </c>
      <c r="I98" s="9">
        <v>45850.861909722204</v>
      </c>
      <c r="J98" s="9">
        <v>45850.945243055598</v>
      </c>
      <c r="K98" s="7" t="s">
        <v>207</v>
      </c>
      <c r="L98" s="10">
        <f t="shared" si="4"/>
        <v>24</v>
      </c>
      <c r="M98" s="10">
        <f t="shared" si="5"/>
        <v>2.8999999993247911</v>
      </c>
      <c r="N98" s="10">
        <f t="shared" si="6"/>
        <v>28.900000000779983</v>
      </c>
      <c r="O98" s="7" t="str">
        <f>IF(ISBLANK(I98),"N/A",IF(((I98-H98)*24)&gt;INDEX(Dim_ServiceType!$E$2:$E$16,MATCH(E98,Dim_ServiceType!$A$2:$A$16,0)),"Yes","No"))</f>
        <v>No</v>
      </c>
      <c r="P98" s="7" t="str">
        <f t="shared" si="7"/>
        <v>Closed</v>
      </c>
      <c r="Q98" s="6">
        <v>4</v>
      </c>
      <c r="R98" s="7" t="s">
        <v>196</v>
      </c>
    </row>
    <row r="99" spans="1:18" x14ac:dyDescent="0.35">
      <c r="A99" s="6">
        <v>98</v>
      </c>
      <c r="B99" s="7" t="s">
        <v>295</v>
      </c>
      <c r="C99" s="6">
        <v>13</v>
      </c>
      <c r="D99" s="6">
        <v>1</v>
      </c>
      <c r="E99" s="6">
        <v>4</v>
      </c>
      <c r="F99" s="6">
        <v>13</v>
      </c>
      <c r="G99" s="9">
        <v>45864.998263888898</v>
      </c>
      <c r="H99" s="9">
        <v>45865.164930555598</v>
      </c>
      <c r="I99" s="9">
        <v>45865.989930555603</v>
      </c>
      <c r="J99" s="9">
        <v>45866.010763888902</v>
      </c>
      <c r="K99" s="7" t="s">
        <v>200</v>
      </c>
      <c r="L99" s="10">
        <f t="shared" si="4"/>
        <v>4.0000000008149073</v>
      </c>
      <c r="M99" s="10">
        <f t="shared" si="5"/>
        <v>19.800000000104774</v>
      </c>
      <c r="N99" s="10">
        <f t="shared" si="6"/>
        <v>24.300000000104774</v>
      </c>
      <c r="O99" s="7" t="str">
        <f>IF(ISBLANK(I99),"N/A",IF(((I99-H99)*24)&gt;INDEX(Dim_ServiceType!$E$2:$E$16,MATCH(E99,Dim_ServiceType!$A$2:$A$16,0)),"Yes","No"))</f>
        <v>No</v>
      </c>
      <c r="P99" s="7" t="str">
        <f t="shared" si="7"/>
        <v>Closed</v>
      </c>
      <c r="Q99" s="6">
        <v>1</v>
      </c>
      <c r="R99" s="7" t="s">
        <v>196</v>
      </c>
    </row>
    <row r="100" spans="1:18" x14ac:dyDescent="0.35">
      <c r="A100" s="6">
        <v>99</v>
      </c>
      <c r="B100" s="7" t="s">
        <v>296</v>
      </c>
      <c r="C100" s="6">
        <v>3</v>
      </c>
      <c r="D100" s="6">
        <v>2</v>
      </c>
      <c r="E100" s="6">
        <v>4</v>
      </c>
      <c r="F100" s="6">
        <v>3</v>
      </c>
      <c r="G100" s="9">
        <v>45984.306863425903</v>
      </c>
      <c r="H100" s="9">
        <v>45984.390196759297</v>
      </c>
      <c r="I100" s="9"/>
      <c r="J100" s="9"/>
      <c r="K100" s="7" t="s">
        <v>195</v>
      </c>
      <c r="L100" s="10">
        <f t="shared" si="4"/>
        <v>2.0000000014551915</v>
      </c>
      <c r="M100" s="10" t="str">
        <f t="shared" si="5"/>
        <v/>
      </c>
      <c r="N100" s="10" t="str">
        <f t="shared" si="6"/>
        <v/>
      </c>
      <c r="O100" s="7" t="str">
        <f>IF(ISBLANK(I100),"N/A",IF(((I100-H100)*24)&gt;INDEX(Dim_ServiceType!$E$2:$E$16,MATCH(E100,Dim_ServiceType!$A$2:$A$16,0)),"Yes","No"))</f>
        <v>N/A</v>
      </c>
      <c r="P100" s="7" t="str">
        <f t="shared" si="7"/>
        <v>In Progress</v>
      </c>
      <c r="Q100" s="6"/>
      <c r="R100" s="7"/>
    </row>
    <row r="101" spans="1:18" x14ac:dyDescent="0.35">
      <c r="A101" s="6">
        <v>100</v>
      </c>
      <c r="B101" s="7" t="s">
        <v>297</v>
      </c>
      <c r="C101" s="6">
        <v>8</v>
      </c>
      <c r="D101" s="6">
        <v>7</v>
      </c>
      <c r="E101" s="6">
        <v>15</v>
      </c>
      <c r="F101" s="6">
        <v>13</v>
      </c>
      <c r="G101" s="9">
        <v>45814.959930555597</v>
      </c>
      <c r="H101" s="9">
        <v>45815.126597222203</v>
      </c>
      <c r="I101" s="9"/>
      <c r="J101" s="9"/>
      <c r="K101" s="7" t="s">
        <v>198</v>
      </c>
      <c r="L101" s="10">
        <f t="shared" si="4"/>
        <v>3.9999999985448085</v>
      </c>
      <c r="M101" s="10" t="str">
        <f t="shared" si="5"/>
        <v/>
      </c>
      <c r="N101" s="10" t="str">
        <f t="shared" si="6"/>
        <v/>
      </c>
      <c r="O101" s="7" t="str">
        <f>IF(ISBLANK(I101),"N/A",IF(((I101-H101)*24)&gt;INDEX(Dim_ServiceType!$E$2:$E$16,MATCH(E101,Dim_ServiceType!$A$2:$A$16,0)),"Yes","No"))</f>
        <v>N/A</v>
      </c>
      <c r="P101" s="7" t="str">
        <f t="shared" si="7"/>
        <v>In Progress</v>
      </c>
      <c r="Q101" s="6"/>
      <c r="R101" s="7"/>
    </row>
    <row r="102" spans="1:18" x14ac:dyDescent="0.35">
      <c r="A102" s="6">
        <v>101</v>
      </c>
      <c r="B102" s="7" t="s">
        <v>298</v>
      </c>
      <c r="C102" s="6">
        <v>4</v>
      </c>
      <c r="D102" s="6">
        <v>12</v>
      </c>
      <c r="E102" s="6">
        <v>4</v>
      </c>
      <c r="F102" s="6">
        <v>8</v>
      </c>
      <c r="G102" s="9">
        <v>45955.233634259297</v>
      </c>
      <c r="H102" s="9">
        <v>45955.983634259297</v>
      </c>
      <c r="I102" s="9">
        <v>45956.621134259301</v>
      </c>
      <c r="J102" s="9">
        <v>45956.704467592601</v>
      </c>
      <c r="K102" s="7" t="s">
        <v>198</v>
      </c>
      <c r="L102" s="10">
        <f t="shared" si="4"/>
        <v>18</v>
      </c>
      <c r="M102" s="10">
        <f t="shared" si="5"/>
        <v>15.300000000104774</v>
      </c>
      <c r="N102" s="10">
        <f t="shared" si="6"/>
        <v>35.299999999289867</v>
      </c>
      <c r="O102" s="7" t="str">
        <f>IF(ISBLANK(I102),"N/A",IF(((I102-H102)*24)&gt;INDEX(Dim_ServiceType!$E$2:$E$16,MATCH(E102,Dim_ServiceType!$A$2:$A$16,0)),"Yes","No"))</f>
        <v>No</v>
      </c>
      <c r="P102" s="7" t="str">
        <f t="shared" si="7"/>
        <v>Closed</v>
      </c>
      <c r="Q102" s="6">
        <v>4</v>
      </c>
      <c r="R102" s="7" t="s">
        <v>196</v>
      </c>
    </row>
    <row r="103" spans="1:18" x14ac:dyDescent="0.35">
      <c r="A103" s="6">
        <v>102</v>
      </c>
      <c r="B103" s="7" t="s">
        <v>299</v>
      </c>
      <c r="C103" s="6">
        <v>2</v>
      </c>
      <c r="D103" s="6">
        <v>8</v>
      </c>
      <c r="E103" s="6">
        <v>3</v>
      </c>
      <c r="F103" s="6">
        <v>8</v>
      </c>
      <c r="G103" s="9">
        <v>45723.605208333298</v>
      </c>
      <c r="H103" s="9">
        <v>45724.605208333298</v>
      </c>
      <c r="I103" s="9">
        <v>45724.896874999999</v>
      </c>
      <c r="J103" s="9">
        <v>45725.146874999999</v>
      </c>
      <c r="K103" s="7" t="s">
        <v>207</v>
      </c>
      <c r="L103" s="10">
        <f t="shared" si="4"/>
        <v>24</v>
      </c>
      <c r="M103" s="10">
        <f t="shared" si="5"/>
        <v>7.0000000008149073</v>
      </c>
      <c r="N103" s="10">
        <f t="shared" si="6"/>
        <v>37.000000000814907</v>
      </c>
      <c r="O103" s="7" t="str">
        <f>IF(ISBLANK(I103),"N/A",IF(((I103-H103)*24)&gt;INDEX(Dim_ServiceType!$E$2:$E$16,MATCH(E103,Dim_ServiceType!$A$2:$A$16,0)),"Yes","No"))</f>
        <v>No</v>
      </c>
      <c r="P103" s="7" t="str">
        <f t="shared" si="7"/>
        <v>Closed</v>
      </c>
      <c r="Q103" s="6">
        <v>4</v>
      </c>
      <c r="R103" s="7" t="s">
        <v>196</v>
      </c>
    </row>
    <row r="104" spans="1:18" x14ac:dyDescent="0.35">
      <c r="A104" s="6">
        <v>103</v>
      </c>
      <c r="B104" s="7" t="s">
        <v>300</v>
      </c>
      <c r="C104" s="6">
        <v>4</v>
      </c>
      <c r="D104" s="6">
        <v>7</v>
      </c>
      <c r="E104" s="6">
        <v>11</v>
      </c>
      <c r="F104" s="6">
        <v>7</v>
      </c>
      <c r="G104" s="9">
        <v>45727.288773148197</v>
      </c>
      <c r="H104" s="9">
        <v>45727.330439814803</v>
      </c>
      <c r="I104" s="9">
        <v>45727.847106481502</v>
      </c>
      <c r="J104" s="9">
        <v>45728.013773148101</v>
      </c>
      <c r="K104" s="7" t="s">
        <v>195</v>
      </c>
      <c r="L104" s="10">
        <f t="shared" si="4"/>
        <v>0.99999999854480848</v>
      </c>
      <c r="M104" s="10">
        <f t="shared" si="5"/>
        <v>12.400000000779983</v>
      </c>
      <c r="N104" s="10">
        <f t="shared" si="6"/>
        <v>17.399999997694977</v>
      </c>
      <c r="O104" s="7" t="str">
        <f>IF(ISBLANK(I104),"N/A",IF(((I104-H104)*24)&gt;INDEX(Dim_ServiceType!$E$2:$E$16,MATCH(E104,Dim_ServiceType!$A$2:$A$16,0)),"Yes","No"))</f>
        <v>Yes</v>
      </c>
      <c r="P104" s="7" t="str">
        <f t="shared" si="7"/>
        <v>Closed</v>
      </c>
      <c r="Q104" s="6">
        <v>4</v>
      </c>
      <c r="R104" s="7" t="s">
        <v>196</v>
      </c>
    </row>
    <row r="105" spans="1:18" x14ac:dyDescent="0.35">
      <c r="A105" s="6">
        <v>104</v>
      </c>
      <c r="B105" s="7" t="s">
        <v>301</v>
      </c>
      <c r="C105" s="6">
        <v>8</v>
      </c>
      <c r="D105" s="6">
        <v>2</v>
      </c>
      <c r="E105" s="6">
        <v>9</v>
      </c>
      <c r="F105" s="6">
        <v>15</v>
      </c>
      <c r="G105" s="9">
        <v>45932.7450231482</v>
      </c>
      <c r="H105" s="9">
        <v>45932.765856481499</v>
      </c>
      <c r="I105" s="9">
        <v>45934.849189814799</v>
      </c>
      <c r="J105" s="9">
        <v>45934.890856481499</v>
      </c>
      <c r="K105" s="7" t="s">
        <v>200</v>
      </c>
      <c r="L105" s="10">
        <f t="shared" si="4"/>
        <v>0.49999999918509275</v>
      </c>
      <c r="M105" s="10">
        <f t="shared" si="5"/>
        <v>49.999999999185093</v>
      </c>
      <c r="N105" s="10">
        <f t="shared" si="6"/>
        <v>51.499999999185093</v>
      </c>
      <c r="O105" s="7" t="str">
        <f>IF(ISBLANK(I105),"N/A",IF(((I105-H105)*24)&gt;INDEX(Dim_ServiceType!$E$2:$E$16,MATCH(E105,Dim_ServiceType!$A$2:$A$16,0)),"Yes","No"))</f>
        <v>No</v>
      </c>
      <c r="P105" s="7" t="str">
        <f t="shared" si="7"/>
        <v>Closed</v>
      </c>
      <c r="Q105" s="6">
        <v>2</v>
      </c>
      <c r="R105" s="7" t="s">
        <v>196</v>
      </c>
    </row>
    <row r="106" spans="1:18" x14ac:dyDescent="0.35">
      <c r="A106" s="6">
        <v>105</v>
      </c>
      <c r="B106" s="7" t="s">
        <v>302</v>
      </c>
      <c r="C106" s="6">
        <v>11</v>
      </c>
      <c r="D106" s="6">
        <v>12</v>
      </c>
      <c r="E106" s="6">
        <v>5</v>
      </c>
      <c r="F106" s="6">
        <v>6</v>
      </c>
      <c r="G106" s="9">
        <v>45734.999606481499</v>
      </c>
      <c r="H106" s="9">
        <v>45735.499606481499</v>
      </c>
      <c r="I106" s="9">
        <v>45735.770439814798</v>
      </c>
      <c r="J106" s="9">
        <v>45735.937106481499</v>
      </c>
      <c r="K106" s="7" t="s">
        <v>192</v>
      </c>
      <c r="L106" s="10">
        <f t="shared" si="4"/>
        <v>12</v>
      </c>
      <c r="M106" s="10">
        <f t="shared" si="5"/>
        <v>6.4999999991850927</v>
      </c>
      <c r="N106" s="10">
        <f t="shared" si="6"/>
        <v>22.5</v>
      </c>
      <c r="O106" s="7" t="str">
        <f>IF(ISBLANK(I106),"N/A",IF(((I106-H106)*24)&gt;INDEX(Dim_ServiceType!$E$2:$E$16,MATCH(E106,Dim_ServiceType!$A$2:$A$16,0)),"Yes","No"))</f>
        <v>No</v>
      </c>
      <c r="P106" s="7" t="str">
        <f t="shared" si="7"/>
        <v>Closed</v>
      </c>
      <c r="Q106" s="6">
        <v>5</v>
      </c>
      <c r="R106" s="7" t="s">
        <v>196</v>
      </c>
    </row>
    <row r="107" spans="1:18" x14ac:dyDescent="0.35">
      <c r="A107" s="6">
        <v>106</v>
      </c>
      <c r="B107" s="7" t="s">
        <v>303</v>
      </c>
      <c r="C107" s="6">
        <v>15</v>
      </c>
      <c r="D107" s="6">
        <v>14</v>
      </c>
      <c r="E107" s="6">
        <v>14</v>
      </c>
      <c r="F107" s="6">
        <v>1</v>
      </c>
      <c r="G107" s="9">
        <v>45917.414386574099</v>
      </c>
      <c r="H107" s="9">
        <v>45917.497719907398</v>
      </c>
      <c r="I107" s="9">
        <v>45917.756053240701</v>
      </c>
      <c r="J107" s="9">
        <v>45917.922719907401</v>
      </c>
      <c r="K107" s="7" t="s">
        <v>192</v>
      </c>
      <c r="L107" s="10">
        <f t="shared" si="4"/>
        <v>1.9999999991850927</v>
      </c>
      <c r="M107" s="10">
        <f t="shared" si="5"/>
        <v>6.1999999992549419</v>
      </c>
      <c r="N107" s="10">
        <f t="shared" si="6"/>
        <v>12.199999999254942</v>
      </c>
      <c r="O107" s="7" t="str">
        <f>IF(ISBLANK(I107),"N/A",IF(((I107-H107)*24)&gt;INDEX(Dim_ServiceType!$E$2:$E$16,MATCH(E107,Dim_ServiceType!$A$2:$A$16,0)),"Yes","No"))</f>
        <v>No</v>
      </c>
      <c r="P107" s="7" t="str">
        <f t="shared" si="7"/>
        <v>Closed</v>
      </c>
      <c r="Q107" s="6">
        <v>4</v>
      </c>
      <c r="R107" s="7" t="s">
        <v>196</v>
      </c>
    </row>
    <row r="108" spans="1:18" x14ac:dyDescent="0.35">
      <c r="A108" s="6">
        <v>107</v>
      </c>
      <c r="B108" s="7" t="s">
        <v>304</v>
      </c>
      <c r="C108" s="6">
        <v>12</v>
      </c>
      <c r="D108" s="6">
        <v>10</v>
      </c>
      <c r="E108" s="6">
        <v>14</v>
      </c>
      <c r="F108" s="6">
        <v>3</v>
      </c>
      <c r="G108" s="9">
        <v>45732.364814814799</v>
      </c>
      <c r="H108" s="9">
        <v>45732.6981481482</v>
      </c>
      <c r="I108" s="9">
        <v>45733.7606481482</v>
      </c>
      <c r="J108" s="9">
        <v>45734.2606481482</v>
      </c>
      <c r="K108" s="7" t="s">
        <v>207</v>
      </c>
      <c r="L108" s="10">
        <f t="shared" si="4"/>
        <v>8.0000000016298145</v>
      </c>
      <c r="M108" s="10">
        <f t="shared" si="5"/>
        <v>25.5</v>
      </c>
      <c r="N108" s="10">
        <f t="shared" si="6"/>
        <v>45.500000001629815</v>
      </c>
      <c r="O108" s="7" t="str">
        <f>IF(ISBLANK(I108),"N/A",IF(((I108-H108)*24)&gt;INDEX(Dim_ServiceType!$E$2:$E$16,MATCH(E108,Dim_ServiceType!$A$2:$A$16,0)),"Yes","No"))</f>
        <v>Yes</v>
      </c>
      <c r="P108" s="7" t="str">
        <f t="shared" si="7"/>
        <v>Closed</v>
      </c>
      <c r="Q108" s="6">
        <v>5</v>
      </c>
      <c r="R108" s="7" t="s">
        <v>196</v>
      </c>
    </row>
    <row r="109" spans="1:18" x14ac:dyDescent="0.35">
      <c r="A109" s="6">
        <v>108</v>
      </c>
      <c r="B109" s="7" t="s">
        <v>305</v>
      </c>
      <c r="C109" s="6">
        <v>14</v>
      </c>
      <c r="D109" s="6">
        <v>6</v>
      </c>
      <c r="E109" s="6">
        <v>5</v>
      </c>
      <c r="F109" s="6">
        <v>5</v>
      </c>
      <c r="G109" s="9">
        <v>45894.826157407399</v>
      </c>
      <c r="H109" s="9">
        <v>45895.826157407399</v>
      </c>
      <c r="I109" s="9"/>
      <c r="J109" s="9"/>
      <c r="K109" s="7" t="s">
        <v>192</v>
      </c>
      <c r="L109" s="10">
        <f t="shared" si="4"/>
        <v>24</v>
      </c>
      <c r="M109" s="10" t="str">
        <f t="shared" si="5"/>
        <v/>
      </c>
      <c r="N109" s="10" t="str">
        <f t="shared" si="6"/>
        <v/>
      </c>
      <c r="O109" s="7" t="str">
        <f>IF(ISBLANK(I109),"N/A",IF(((I109-H109)*24)&gt;INDEX(Dim_ServiceType!$E$2:$E$16,MATCH(E109,Dim_ServiceType!$A$2:$A$16,0)),"Yes","No"))</f>
        <v>N/A</v>
      </c>
      <c r="P109" s="7" t="str">
        <f t="shared" si="7"/>
        <v>In Progress</v>
      </c>
      <c r="Q109" s="6"/>
      <c r="R109" s="7"/>
    </row>
    <row r="110" spans="1:18" x14ac:dyDescent="0.35">
      <c r="A110" s="6">
        <v>109</v>
      </c>
      <c r="B110" s="7" t="s">
        <v>306</v>
      </c>
      <c r="C110" s="6">
        <v>10</v>
      </c>
      <c r="D110" s="6">
        <v>9</v>
      </c>
      <c r="E110" s="6">
        <v>2</v>
      </c>
      <c r="F110" s="6">
        <v>14</v>
      </c>
      <c r="G110" s="9">
        <v>45836.526469907403</v>
      </c>
      <c r="H110" s="9">
        <v>45836.776469907403</v>
      </c>
      <c r="I110" s="9">
        <v>45836.901469907403</v>
      </c>
      <c r="J110" s="9">
        <v>45837.401469907403</v>
      </c>
      <c r="K110" s="7" t="s">
        <v>192</v>
      </c>
      <c r="L110" s="10">
        <f t="shared" si="4"/>
        <v>6</v>
      </c>
      <c r="M110" s="10">
        <f t="shared" si="5"/>
        <v>3</v>
      </c>
      <c r="N110" s="10">
        <f t="shared" si="6"/>
        <v>21</v>
      </c>
      <c r="O110" s="7" t="str">
        <f>IF(ISBLANK(I110),"N/A",IF(((I110-H110)*24)&gt;INDEX(Dim_ServiceType!$E$2:$E$16,MATCH(E110,Dim_ServiceType!$A$2:$A$16,0)),"Yes","No"))</f>
        <v>No</v>
      </c>
      <c r="P110" s="7" t="str">
        <f t="shared" si="7"/>
        <v>Closed</v>
      </c>
      <c r="Q110" s="6">
        <v>5</v>
      </c>
      <c r="R110" s="7" t="s">
        <v>196</v>
      </c>
    </row>
    <row r="111" spans="1:18" x14ac:dyDescent="0.35">
      <c r="A111" s="6">
        <v>110</v>
      </c>
      <c r="B111" s="7" t="s">
        <v>307</v>
      </c>
      <c r="C111" s="6">
        <v>11</v>
      </c>
      <c r="D111" s="6">
        <v>11</v>
      </c>
      <c r="E111" s="6">
        <v>6</v>
      </c>
      <c r="F111" s="6">
        <v>11</v>
      </c>
      <c r="G111" s="9">
        <v>45758.225671296299</v>
      </c>
      <c r="H111" s="9">
        <v>45758.246504629598</v>
      </c>
      <c r="I111" s="9">
        <v>45759.004837963003</v>
      </c>
      <c r="J111" s="9">
        <v>45759.046504629601</v>
      </c>
      <c r="K111" s="7" t="s">
        <v>207</v>
      </c>
      <c r="L111" s="10">
        <f t="shared" si="4"/>
        <v>0.49999999918509275</v>
      </c>
      <c r="M111" s="10">
        <f t="shared" si="5"/>
        <v>18.200000001699664</v>
      </c>
      <c r="N111" s="10">
        <f t="shared" si="6"/>
        <v>19.699999999254942</v>
      </c>
      <c r="O111" s="7" t="str">
        <f>IF(ISBLANK(I111),"N/A",IF(((I111-H111)*24)&gt;INDEX(Dim_ServiceType!$E$2:$E$16,MATCH(E111,Dim_ServiceType!$A$2:$A$16,0)),"Yes","No"))</f>
        <v>No</v>
      </c>
      <c r="P111" s="7" t="str">
        <f t="shared" si="7"/>
        <v>Closed</v>
      </c>
      <c r="Q111" s="6">
        <v>4</v>
      </c>
      <c r="R111" s="7" t="s">
        <v>196</v>
      </c>
    </row>
    <row r="112" spans="1:18" x14ac:dyDescent="0.35">
      <c r="A112" s="6">
        <v>111</v>
      </c>
      <c r="B112" s="7" t="s">
        <v>308</v>
      </c>
      <c r="C112" s="6">
        <v>8</v>
      </c>
      <c r="D112" s="6">
        <v>10</v>
      </c>
      <c r="E112" s="6">
        <v>13</v>
      </c>
      <c r="F112" s="6">
        <v>5</v>
      </c>
      <c r="G112" s="9">
        <v>45810.465613425898</v>
      </c>
      <c r="H112" s="9">
        <v>45810.4864467593</v>
      </c>
      <c r="I112" s="9">
        <v>45811.269780092603</v>
      </c>
      <c r="J112" s="9">
        <v>45811.311446759297</v>
      </c>
      <c r="K112" s="7" t="s">
        <v>200</v>
      </c>
      <c r="L112" s="10">
        <f t="shared" si="4"/>
        <v>0.50000000162981451</v>
      </c>
      <c r="M112" s="10">
        <f t="shared" si="5"/>
        <v>18.799999999289867</v>
      </c>
      <c r="N112" s="10">
        <f t="shared" si="6"/>
        <v>20.300000001559965</v>
      </c>
      <c r="O112" s="7" t="str">
        <f>IF(ISBLANK(I112),"N/A",IF(((I112-H112)*24)&gt;INDEX(Dim_ServiceType!$E$2:$E$16,MATCH(E112,Dim_ServiceType!$A$2:$A$16,0)),"Yes","No"))</f>
        <v>No</v>
      </c>
      <c r="P112" s="7" t="str">
        <f t="shared" si="7"/>
        <v>Closed</v>
      </c>
      <c r="Q112" s="6">
        <v>5</v>
      </c>
      <c r="R112" s="7" t="s">
        <v>196</v>
      </c>
    </row>
    <row r="113" spans="1:18" x14ac:dyDescent="0.35">
      <c r="A113" s="6">
        <v>112</v>
      </c>
      <c r="B113" s="7" t="s">
        <v>309</v>
      </c>
      <c r="C113" s="6">
        <v>14</v>
      </c>
      <c r="D113" s="6">
        <v>5</v>
      </c>
      <c r="E113" s="6">
        <v>6</v>
      </c>
      <c r="F113" s="6">
        <v>5</v>
      </c>
      <c r="G113" s="9">
        <v>45815.465578703697</v>
      </c>
      <c r="H113" s="9">
        <v>45815.507245370398</v>
      </c>
      <c r="I113" s="9">
        <v>45817.219745370399</v>
      </c>
      <c r="J113" s="9">
        <v>45817.719745370399</v>
      </c>
      <c r="K113" s="7" t="s">
        <v>198</v>
      </c>
      <c r="L113" s="10">
        <f t="shared" si="4"/>
        <v>1.0000000008149073</v>
      </c>
      <c r="M113" s="10">
        <f t="shared" si="5"/>
        <v>41.100000000034925</v>
      </c>
      <c r="N113" s="10">
        <f t="shared" si="6"/>
        <v>54.100000000849832</v>
      </c>
      <c r="O113" s="7" t="str">
        <f>IF(ISBLANK(I113),"N/A",IF(((I113-H113)*24)&gt;INDEX(Dim_ServiceType!$E$2:$E$16,MATCH(E113,Dim_ServiceType!$A$2:$A$16,0)),"Yes","No"))</f>
        <v>No</v>
      </c>
      <c r="P113" s="7" t="str">
        <f t="shared" si="7"/>
        <v>Closed</v>
      </c>
      <c r="Q113" s="6">
        <v>3</v>
      </c>
      <c r="R113" s="7" t="s">
        <v>196</v>
      </c>
    </row>
    <row r="114" spans="1:18" x14ac:dyDescent="0.35">
      <c r="A114" s="6">
        <v>113</v>
      </c>
      <c r="B114" s="7" t="s">
        <v>310</v>
      </c>
      <c r="C114" s="6">
        <v>9</v>
      </c>
      <c r="D114" s="6">
        <v>10</v>
      </c>
      <c r="E114" s="6">
        <v>12</v>
      </c>
      <c r="F114" s="6">
        <v>6</v>
      </c>
      <c r="G114" s="9">
        <v>45731.132199074098</v>
      </c>
      <c r="H114" s="9">
        <v>45732.132199074098</v>
      </c>
      <c r="I114" s="9">
        <v>45733.2863657407</v>
      </c>
      <c r="J114" s="9">
        <v>45733.3280324074</v>
      </c>
      <c r="K114" s="7" t="s">
        <v>207</v>
      </c>
      <c r="L114" s="10">
        <f t="shared" si="4"/>
        <v>24</v>
      </c>
      <c r="M114" s="10">
        <f t="shared" si="5"/>
        <v>27.699999998440035</v>
      </c>
      <c r="N114" s="10">
        <f t="shared" si="6"/>
        <v>52.699999999254942</v>
      </c>
      <c r="O114" s="7" t="str">
        <f>IF(ISBLANK(I114),"N/A",IF(((I114-H114)*24)&gt;INDEX(Dim_ServiceType!$E$2:$E$16,MATCH(E114,Dim_ServiceType!$A$2:$A$16,0)),"Yes","No"))</f>
        <v>Yes</v>
      </c>
      <c r="P114" s="7" t="str">
        <f t="shared" si="7"/>
        <v>Closed</v>
      </c>
      <c r="Q114" s="6">
        <v>1</v>
      </c>
      <c r="R114" s="7" t="s">
        <v>196</v>
      </c>
    </row>
    <row r="115" spans="1:18" x14ac:dyDescent="0.35">
      <c r="A115" s="6">
        <v>114</v>
      </c>
      <c r="B115" s="7" t="s">
        <v>311</v>
      </c>
      <c r="C115" s="6">
        <v>14</v>
      </c>
      <c r="D115" s="6">
        <v>3</v>
      </c>
      <c r="E115" s="6">
        <v>13</v>
      </c>
      <c r="F115" s="6">
        <v>5</v>
      </c>
      <c r="G115" s="9">
        <v>45907.433055555601</v>
      </c>
      <c r="H115" s="9">
        <v>45907.599722222199</v>
      </c>
      <c r="I115" s="9">
        <v>45907.958055555602</v>
      </c>
      <c r="J115" s="9">
        <v>45907.978888888902</v>
      </c>
      <c r="K115" s="7" t="s">
        <v>198</v>
      </c>
      <c r="L115" s="10">
        <f t="shared" si="4"/>
        <v>3.9999999983701855</v>
      </c>
      <c r="M115" s="10">
        <f t="shared" si="5"/>
        <v>8.6000000016647391</v>
      </c>
      <c r="N115" s="10">
        <f t="shared" si="6"/>
        <v>13.099999999220017</v>
      </c>
      <c r="O115" s="7" t="str">
        <f>IF(ISBLANK(I115),"N/A",IF(((I115-H115)*24)&gt;INDEX(Dim_ServiceType!$E$2:$E$16,MATCH(E115,Dim_ServiceType!$A$2:$A$16,0)),"Yes","No"))</f>
        <v>No</v>
      </c>
      <c r="P115" s="7" t="str">
        <f t="shared" si="7"/>
        <v>Closed</v>
      </c>
      <c r="Q115" s="6">
        <v>4</v>
      </c>
      <c r="R115" s="7" t="s">
        <v>196</v>
      </c>
    </row>
    <row r="116" spans="1:18" x14ac:dyDescent="0.35">
      <c r="A116" s="6">
        <v>115</v>
      </c>
      <c r="B116" s="7" t="s">
        <v>312</v>
      </c>
      <c r="C116" s="6">
        <v>7</v>
      </c>
      <c r="D116" s="6">
        <v>9</v>
      </c>
      <c r="E116" s="6">
        <v>8</v>
      </c>
      <c r="F116" s="6">
        <v>15</v>
      </c>
      <c r="G116" s="9">
        <v>45700.526678240698</v>
      </c>
      <c r="H116" s="9">
        <v>45700.776678240698</v>
      </c>
      <c r="I116" s="9">
        <v>45700.860011574099</v>
      </c>
      <c r="J116" s="9">
        <v>45700.880844907399</v>
      </c>
      <c r="K116" s="7" t="s">
        <v>195</v>
      </c>
      <c r="L116" s="10">
        <f t="shared" si="4"/>
        <v>6</v>
      </c>
      <c r="M116" s="10">
        <f t="shared" si="5"/>
        <v>2.0000000016298145</v>
      </c>
      <c r="N116" s="10">
        <f t="shared" si="6"/>
        <v>8.5000000008149073</v>
      </c>
      <c r="O116" s="7" t="str">
        <f>IF(ISBLANK(I116),"N/A",IF(((I116-H116)*24)&gt;INDEX(Dim_ServiceType!$E$2:$E$16,MATCH(E116,Dim_ServiceType!$A$2:$A$16,0)),"Yes","No"))</f>
        <v>No</v>
      </c>
      <c r="P116" s="7" t="str">
        <f t="shared" si="7"/>
        <v>Closed</v>
      </c>
      <c r="Q116" s="6">
        <v>4</v>
      </c>
      <c r="R116" s="7" t="s">
        <v>196</v>
      </c>
    </row>
    <row r="117" spans="1:18" x14ac:dyDescent="0.35">
      <c r="A117" s="6">
        <v>116</v>
      </c>
      <c r="B117" s="7" t="s">
        <v>313</v>
      </c>
      <c r="C117" s="6">
        <v>1</v>
      </c>
      <c r="D117" s="6">
        <v>4</v>
      </c>
      <c r="E117" s="6">
        <v>7</v>
      </c>
      <c r="F117" s="6">
        <v>13</v>
      </c>
      <c r="G117" s="9">
        <v>45851.860821759299</v>
      </c>
      <c r="H117" s="9">
        <v>45852.860821759299</v>
      </c>
      <c r="I117" s="9">
        <v>45853.814988425896</v>
      </c>
      <c r="J117" s="9">
        <v>45853.856655092597</v>
      </c>
      <c r="K117" s="7" t="s">
        <v>200</v>
      </c>
      <c r="L117" s="10">
        <f t="shared" si="4"/>
        <v>24</v>
      </c>
      <c r="M117" s="10">
        <f t="shared" si="5"/>
        <v>22.899999998335261</v>
      </c>
      <c r="N117" s="10">
        <f t="shared" si="6"/>
        <v>47.899999999150168</v>
      </c>
      <c r="O117" s="7" t="str">
        <f>IF(ISBLANK(I117),"N/A",IF(((I117-H117)*24)&gt;INDEX(Dim_ServiceType!$E$2:$E$16,MATCH(E117,Dim_ServiceType!$A$2:$A$16,0)),"Yes","No"))</f>
        <v>No</v>
      </c>
      <c r="P117" s="7" t="str">
        <f t="shared" si="7"/>
        <v>Closed</v>
      </c>
      <c r="Q117" s="6">
        <v>4</v>
      </c>
      <c r="R117" s="7" t="s">
        <v>196</v>
      </c>
    </row>
    <row r="118" spans="1:18" x14ac:dyDescent="0.35">
      <c r="A118" s="6">
        <v>117</v>
      </c>
      <c r="B118" s="7" t="s">
        <v>314</v>
      </c>
      <c r="C118" s="6">
        <v>11</v>
      </c>
      <c r="D118" s="6">
        <v>7</v>
      </c>
      <c r="E118" s="6">
        <v>9</v>
      </c>
      <c r="F118" s="6">
        <v>6</v>
      </c>
      <c r="G118" s="9">
        <v>45852.944664351897</v>
      </c>
      <c r="H118" s="9">
        <v>45853.194664351897</v>
      </c>
      <c r="I118" s="9">
        <v>45854.461331018501</v>
      </c>
      <c r="J118" s="9">
        <v>45854.482164351903</v>
      </c>
      <c r="K118" s="7" t="s">
        <v>200</v>
      </c>
      <c r="L118" s="10">
        <f t="shared" si="4"/>
        <v>6</v>
      </c>
      <c r="M118" s="10">
        <f t="shared" si="5"/>
        <v>30.399999998509884</v>
      </c>
      <c r="N118" s="10">
        <f t="shared" si="6"/>
        <v>36.900000000139698</v>
      </c>
      <c r="O118" s="7" t="str">
        <f>IF(ISBLANK(I118),"N/A",IF(((I118-H118)*24)&gt;INDEX(Dim_ServiceType!$E$2:$E$16,MATCH(E118,Dim_ServiceType!$A$2:$A$16,0)),"Yes","No"))</f>
        <v>No</v>
      </c>
      <c r="P118" s="7" t="str">
        <f t="shared" si="7"/>
        <v>Closed</v>
      </c>
      <c r="Q118" s="6">
        <v>5</v>
      </c>
      <c r="R118" s="7" t="s">
        <v>196</v>
      </c>
    </row>
    <row r="119" spans="1:18" x14ac:dyDescent="0.35">
      <c r="A119" s="6">
        <v>118</v>
      </c>
      <c r="B119" s="7" t="s">
        <v>315</v>
      </c>
      <c r="C119" s="6">
        <v>13</v>
      </c>
      <c r="D119" s="6">
        <v>6</v>
      </c>
      <c r="E119" s="6">
        <v>5</v>
      </c>
      <c r="F119" s="6">
        <v>8</v>
      </c>
      <c r="G119" s="9">
        <v>45697.1713773148</v>
      </c>
      <c r="H119" s="9">
        <v>45697.192210648202</v>
      </c>
      <c r="I119" s="9"/>
      <c r="J119" s="9"/>
      <c r="K119" s="7" t="s">
        <v>195</v>
      </c>
      <c r="L119" s="10">
        <f t="shared" si="4"/>
        <v>0.50000000162981451</v>
      </c>
      <c r="M119" s="10" t="str">
        <f t="shared" si="5"/>
        <v/>
      </c>
      <c r="N119" s="10" t="str">
        <f t="shared" si="6"/>
        <v/>
      </c>
      <c r="O119" s="7" t="str">
        <f>IF(ISBLANK(I119),"N/A",IF(((I119-H119)*24)&gt;INDEX(Dim_ServiceType!$E$2:$E$16,MATCH(E119,Dim_ServiceType!$A$2:$A$16,0)),"Yes","No"))</f>
        <v>N/A</v>
      </c>
      <c r="P119" s="7" t="str">
        <f t="shared" si="7"/>
        <v>In Progress</v>
      </c>
      <c r="Q119" s="6"/>
      <c r="R119" s="7"/>
    </row>
    <row r="120" spans="1:18" x14ac:dyDescent="0.35">
      <c r="A120" s="6">
        <v>119</v>
      </c>
      <c r="B120" s="7" t="s">
        <v>316</v>
      </c>
      <c r="C120" s="6">
        <v>7</v>
      </c>
      <c r="D120" s="6">
        <v>3</v>
      </c>
      <c r="E120" s="6">
        <v>12</v>
      </c>
      <c r="F120" s="6">
        <v>14</v>
      </c>
      <c r="G120" s="9">
        <v>45835.850856481498</v>
      </c>
      <c r="H120" s="9">
        <v>45835.975856481498</v>
      </c>
      <c r="I120" s="9">
        <v>45836.9800231482</v>
      </c>
      <c r="J120" s="9">
        <v>45837.2300231482</v>
      </c>
      <c r="K120" s="7" t="s">
        <v>207</v>
      </c>
      <c r="L120" s="10">
        <f t="shared" si="4"/>
        <v>3</v>
      </c>
      <c r="M120" s="10">
        <f t="shared" si="5"/>
        <v>24.100000000849832</v>
      </c>
      <c r="N120" s="10">
        <f t="shared" si="6"/>
        <v>33.100000000849832</v>
      </c>
      <c r="O120" s="7" t="str">
        <f>IF(ISBLANK(I120),"N/A",IF(((I120-H120)*24)&gt;INDEX(Dim_ServiceType!$E$2:$E$16,MATCH(E120,Dim_ServiceType!$A$2:$A$16,0)),"Yes","No"))</f>
        <v>Yes</v>
      </c>
      <c r="P120" s="7" t="str">
        <f t="shared" si="7"/>
        <v>Closed</v>
      </c>
      <c r="Q120" s="6">
        <v>5</v>
      </c>
      <c r="R120" s="7" t="s">
        <v>196</v>
      </c>
    </row>
    <row r="121" spans="1:18" x14ac:dyDescent="0.35">
      <c r="A121" s="6">
        <v>120</v>
      </c>
      <c r="B121" s="7" t="s">
        <v>317</v>
      </c>
      <c r="C121" s="6">
        <v>7</v>
      </c>
      <c r="D121" s="6">
        <v>4</v>
      </c>
      <c r="E121" s="6">
        <v>10</v>
      </c>
      <c r="F121" s="6">
        <v>15</v>
      </c>
      <c r="G121" s="9">
        <v>45780.911296296297</v>
      </c>
      <c r="H121" s="9">
        <v>45781.036296296297</v>
      </c>
      <c r="I121" s="9"/>
      <c r="J121" s="9"/>
      <c r="K121" s="7" t="s">
        <v>198</v>
      </c>
      <c r="L121" s="10">
        <f t="shared" si="4"/>
        <v>3</v>
      </c>
      <c r="M121" s="10" t="str">
        <f t="shared" si="5"/>
        <v/>
      </c>
      <c r="N121" s="10" t="str">
        <f t="shared" si="6"/>
        <v/>
      </c>
      <c r="O121" s="7" t="str">
        <f>IF(ISBLANK(I121),"N/A",IF(((I121-H121)*24)&gt;INDEX(Dim_ServiceType!$E$2:$E$16,MATCH(E121,Dim_ServiceType!$A$2:$A$16,0)),"Yes","No"))</f>
        <v>N/A</v>
      </c>
      <c r="P121" s="7" t="str">
        <f t="shared" si="7"/>
        <v>In Progress</v>
      </c>
      <c r="Q121" s="6"/>
      <c r="R121" s="7"/>
    </row>
    <row r="122" spans="1:18" x14ac:dyDescent="0.35">
      <c r="A122" s="6">
        <v>121</v>
      </c>
      <c r="B122" s="7" t="s">
        <v>318</v>
      </c>
      <c r="C122" s="6">
        <v>11</v>
      </c>
      <c r="D122" s="6">
        <v>9</v>
      </c>
      <c r="E122" s="6">
        <v>13</v>
      </c>
      <c r="F122" s="6">
        <v>3</v>
      </c>
      <c r="G122" s="9">
        <v>45809.790567129603</v>
      </c>
      <c r="H122" s="9">
        <v>45810.123900462997</v>
      </c>
      <c r="I122" s="9">
        <v>45810.853067129603</v>
      </c>
      <c r="J122" s="9">
        <v>45810.894733796304</v>
      </c>
      <c r="K122" s="7" t="s">
        <v>200</v>
      </c>
      <c r="L122" s="10">
        <f t="shared" si="4"/>
        <v>8.0000000014551915</v>
      </c>
      <c r="M122" s="10">
        <f t="shared" si="5"/>
        <v>17.499999998544808</v>
      </c>
      <c r="N122" s="10">
        <f t="shared" si="6"/>
        <v>26.500000000814907</v>
      </c>
      <c r="O122" s="7" t="str">
        <f>IF(ISBLANK(I122),"N/A",IF(((I122-H122)*24)&gt;INDEX(Dim_ServiceType!$E$2:$E$16,MATCH(E122,Dim_ServiceType!$A$2:$A$16,0)),"Yes","No"))</f>
        <v>No</v>
      </c>
      <c r="P122" s="7" t="str">
        <f t="shared" si="7"/>
        <v>Closed</v>
      </c>
      <c r="Q122" s="6">
        <v>5</v>
      </c>
      <c r="R122" s="7" t="s">
        <v>196</v>
      </c>
    </row>
    <row r="123" spans="1:18" x14ac:dyDescent="0.35">
      <c r="A123" s="6">
        <v>122</v>
      </c>
      <c r="B123" s="7" t="s">
        <v>319</v>
      </c>
      <c r="C123" s="6">
        <v>2</v>
      </c>
      <c r="D123" s="6">
        <v>1</v>
      </c>
      <c r="E123" s="6">
        <v>1</v>
      </c>
      <c r="F123" s="6">
        <v>6</v>
      </c>
      <c r="G123" s="9">
        <v>45783.651678240698</v>
      </c>
      <c r="H123" s="9">
        <v>45783.901678240698</v>
      </c>
      <c r="I123" s="9">
        <v>45784.047511574099</v>
      </c>
      <c r="J123" s="9">
        <v>45784.547511574099</v>
      </c>
      <c r="K123" s="7" t="s">
        <v>207</v>
      </c>
      <c r="L123" s="10">
        <f t="shared" si="4"/>
        <v>6</v>
      </c>
      <c r="M123" s="10">
        <f t="shared" si="5"/>
        <v>3.5000000016298145</v>
      </c>
      <c r="N123" s="10">
        <f t="shared" si="6"/>
        <v>21.500000001629815</v>
      </c>
      <c r="O123" s="7" t="str">
        <f>IF(ISBLANK(I123),"N/A",IF(((I123-H123)*24)&gt;INDEX(Dim_ServiceType!$E$2:$E$16,MATCH(E123,Dim_ServiceType!$A$2:$A$16,0)),"Yes","No"))</f>
        <v>No</v>
      </c>
      <c r="P123" s="7" t="str">
        <f t="shared" si="7"/>
        <v>Closed</v>
      </c>
      <c r="Q123" s="6">
        <v>2</v>
      </c>
      <c r="R123" s="7" t="s">
        <v>196</v>
      </c>
    </row>
    <row r="124" spans="1:18" x14ac:dyDescent="0.35">
      <c r="A124" s="6">
        <v>123</v>
      </c>
      <c r="B124" s="7" t="s">
        <v>320</v>
      </c>
      <c r="C124" s="6">
        <v>9</v>
      </c>
      <c r="D124" s="6">
        <v>4</v>
      </c>
      <c r="E124" s="6">
        <v>1</v>
      </c>
      <c r="F124" s="6">
        <v>6</v>
      </c>
      <c r="G124" s="9">
        <v>45796.303009259304</v>
      </c>
      <c r="H124" s="9">
        <v>45796.344675925902</v>
      </c>
      <c r="I124" s="9">
        <v>45796.498842592599</v>
      </c>
      <c r="J124" s="9">
        <v>45797.498842592599</v>
      </c>
      <c r="K124" s="7" t="s">
        <v>192</v>
      </c>
      <c r="L124" s="10">
        <f t="shared" si="4"/>
        <v>0.99999999837018549</v>
      </c>
      <c r="M124" s="10">
        <f t="shared" si="5"/>
        <v>3.7000000007101335</v>
      </c>
      <c r="N124" s="10">
        <f t="shared" si="6"/>
        <v>28.699999999080319</v>
      </c>
      <c r="O124" s="7" t="str">
        <f>IF(ISBLANK(I124),"N/A",IF(((I124-H124)*24)&gt;INDEX(Dim_ServiceType!$E$2:$E$16,MATCH(E124,Dim_ServiceType!$A$2:$A$16,0)),"Yes","No"))</f>
        <v>No</v>
      </c>
      <c r="P124" s="7" t="str">
        <f t="shared" si="7"/>
        <v>Closed</v>
      </c>
      <c r="Q124" s="6">
        <v>5</v>
      </c>
      <c r="R124" s="7" t="s">
        <v>196</v>
      </c>
    </row>
    <row r="125" spans="1:18" x14ac:dyDescent="0.35">
      <c r="A125" s="6">
        <v>124</v>
      </c>
      <c r="B125" s="7" t="s">
        <v>321</v>
      </c>
      <c r="C125" s="6">
        <v>5</v>
      </c>
      <c r="D125" s="6">
        <v>10</v>
      </c>
      <c r="E125" s="6">
        <v>8</v>
      </c>
      <c r="F125" s="6">
        <v>10</v>
      </c>
      <c r="G125" s="9">
        <v>45817.937106481499</v>
      </c>
      <c r="H125" s="9">
        <v>45818.103773148199</v>
      </c>
      <c r="I125" s="9">
        <v>45818.341273148202</v>
      </c>
      <c r="J125" s="9">
        <v>45818.424606481502</v>
      </c>
      <c r="K125" s="7" t="s">
        <v>195</v>
      </c>
      <c r="L125" s="10">
        <f t="shared" si="4"/>
        <v>4.0000000008149073</v>
      </c>
      <c r="M125" s="10">
        <f t="shared" si="5"/>
        <v>5.7000000000698492</v>
      </c>
      <c r="N125" s="10">
        <f t="shared" si="6"/>
        <v>11.700000000069849</v>
      </c>
      <c r="O125" s="7" t="str">
        <f>IF(ISBLANK(I125),"N/A",IF(((I125-H125)*24)&gt;INDEX(Dim_ServiceType!$E$2:$E$16,MATCH(E125,Dim_ServiceType!$A$2:$A$16,0)),"Yes","No"))</f>
        <v>No</v>
      </c>
      <c r="P125" s="7" t="str">
        <f t="shared" si="7"/>
        <v>Closed</v>
      </c>
      <c r="Q125" s="6">
        <v>1</v>
      </c>
      <c r="R125" s="7" t="s">
        <v>196</v>
      </c>
    </row>
    <row r="126" spans="1:18" x14ac:dyDescent="0.35">
      <c r="A126" s="6">
        <v>125</v>
      </c>
      <c r="B126" s="7" t="s">
        <v>322</v>
      </c>
      <c r="C126" s="6">
        <v>2</v>
      </c>
      <c r="D126" s="6">
        <v>6</v>
      </c>
      <c r="E126" s="6">
        <v>8</v>
      </c>
      <c r="F126" s="6">
        <v>3</v>
      </c>
      <c r="G126" s="9">
        <v>45917.383229166699</v>
      </c>
      <c r="H126" s="9">
        <v>45917.716562499998</v>
      </c>
      <c r="I126" s="9"/>
      <c r="J126" s="9"/>
      <c r="K126" s="7" t="s">
        <v>207</v>
      </c>
      <c r="L126" s="10">
        <f t="shared" si="4"/>
        <v>7.9999999991850927</v>
      </c>
      <c r="M126" s="10" t="str">
        <f t="shared" si="5"/>
        <v/>
      </c>
      <c r="N126" s="10" t="str">
        <f t="shared" si="6"/>
        <v/>
      </c>
      <c r="O126" s="7" t="str">
        <f>IF(ISBLANK(I126),"N/A",IF(((I126-H126)*24)&gt;INDEX(Dim_ServiceType!$E$2:$E$16,MATCH(E126,Dim_ServiceType!$A$2:$A$16,0)),"Yes","No"))</f>
        <v>N/A</v>
      </c>
      <c r="P126" s="7" t="str">
        <f t="shared" si="7"/>
        <v>In Progress</v>
      </c>
      <c r="Q126" s="6"/>
      <c r="R126" s="7"/>
    </row>
    <row r="127" spans="1:18" x14ac:dyDescent="0.35">
      <c r="A127" s="6">
        <v>126</v>
      </c>
      <c r="B127" s="7" t="s">
        <v>323</v>
      </c>
      <c r="C127" s="6">
        <v>4</v>
      </c>
      <c r="D127" s="6">
        <v>9</v>
      </c>
      <c r="E127" s="6">
        <v>11</v>
      </c>
      <c r="F127" s="6">
        <v>4</v>
      </c>
      <c r="G127" s="9">
        <v>45732.374317129601</v>
      </c>
      <c r="H127" s="9">
        <v>45732.395150463002</v>
      </c>
      <c r="I127" s="9">
        <v>45732.870150463001</v>
      </c>
      <c r="J127" s="9">
        <v>45733.870150463001</v>
      </c>
      <c r="K127" s="7" t="s">
        <v>207</v>
      </c>
      <c r="L127" s="10">
        <f t="shared" si="4"/>
        <v>0.50000000162981451</v>
      </c>
      <c r="M127" s="10">
        <f t="shared" si="5"/>
        <v>11.399999999965075</v>
      </c>
      <c r="N127" s="10">
        <f t="shared" si="6"/>
        <v>35.90000000159489</v>
      </c>
      <c r="O127" s="7" t="str">
        <f>IF(ISBLANK(I127),"N/A",IF(((I127-H127)*24)&gt;INDEX(Dim_ServiceType!$E$2:$E$16,MATCH(E127,Dim_ServiceType!$A$2:$A$16,0)),"Yes","No"))</f>
        <v>No</v>
      </c>
      <c r="P127" s="7" t="str">
        <f t="shared" si="7"/>
        <v>Closed</v>
      </c>
      <c r="Q127" s="6">
        <v>4</v>
      </c>
      <c r="R127" s="7" t="s">
        <v>196</v>
      </c>
    </row>
    <row r="128" spans="1:18" x14ac:dyDescent="0.35">
      <c r="A128" s="6">
        <v>127</v>
      </c>
      <c r="B128" s="7" t="s">
        <v>324</v>
      </c>
      <c r="C128" s="6">
        <v>2</v>
      </c>
      <c r="D128" s="6">
        <v>3</v>
      </c>
      <c r="E128" s="6">
        <v>4</v>
      </c>
      <c r="F128" s="6">
        <v>15</v>
      </c>
      <c r="G128" s="9">
        <v>45738.672557870399</v>
      </c>
      <c r="H128" s="9">
        <v>45739.005891203698</v>
      </c>
      <c r="I128" s="9">
        <v>45740.285057870402</v>
      </c>
      <c r="J128" s="9">
        <v>45740.305891203701</v>
      </c>
      <c r="K128" s="7" t="s">
        <v>192</v>
      </c>
      <c r="L128" s="10">
        <f t="shared" si="4"/>
        <v>7.9999999991850927</v>
      </c>
      <c r="M128" s="10">
        <f t="shared" si="5"/>
        <v>30.700000000884756</v>
      </c>
      <c r="N128" s="10">
        <f t="shared" si="6"/>
        <v>39.199999999254942</v>
      </c>
      <c r="O128" s="7" t="str">
        <f>IF(ISBLANK(I128),"N/A",IF(((I128-H128)*24)&gt;INDEX(Dim_ServiceType!$E$2:$E$16,MATCH(E128,Dim_ServiceType!$A$2:$A$16,0)),"Yes","No"))</f>
        <v>Yes</v>
      </c>
      <c r="P128" s="7" t="str">
        <f t="shared" si="7"/>
        <v>Closed</v>
      </c>
      <c r="Q128" s="6">
        <v>2</v>
      </c>
      <c r="R128" s="7" t="s">
        <v>196</v>
      </c>
    </row>
    <row r="129" spans="1:18" x14ac:dyDescent="0.35">
      <c r="A129" s="6">
        <v>128</v>
      </c>
      <c r="B129" s="7" t="s">
        <v>325</v>
      </c>
      <c r="C129" s="6">
        <v>13</v>
      </c>
      <c r="D129" s="6">
        <v>4</v>
      </c>
      <c r="E129" s="6">
        <v>11</v>
      </c>
      <c r="F129" s="6">
        <v>7</v>
      </c>
      <c r="G129" s="9">
        <v>45662.186620370398</v>
      </c>
      <c r="H129" s="9">
        <v>45662.228287037004</v>
      </c>
      <c r="I129" s="9"/>
      <c r="J129" s="9"/>
      <c r="K129" s="7" t="s">
        <v>195</v>
      </c>
      <c r="L129" s="10">
        <f t="shared" si="4"/>
        <v>0.99999999854480848</v>
      </c>
      <c r="M129" s="10" t="str">
        <f t="shared" si="5"/>
        <v/>
      </c>
      <c r="N129" s="10" t="str">
        <f t="shared" si="6"/>
        <v/>
      </c>
      <c r="O129" s="7" t="str">
        <f>IF(ISBLANK(I129),"N/A",IF(((I129-H129)*24)&gt;INDEX(Dim_ServiceType!$E$2:$E$16,MATCH(E129,Dim_ServiceType!$A$2:$A$16,0)),"Yes","No"))</f>
        <v>N/A</v>
      </c>
      <c r="P129" s="7" t="str">
        <f t="shared" si="7"/>
        <v>In Progress</v>
      </c>
      <c r="Q129" s="6"/>
      <c r="R129" s="7"/>
    </row>
    <row r="130" spans="1:18" x14ac:dyDescent="0.35">
      <c r="A130" s="6">
        <v>129</v>
      </c>
      <c r="B130" s="7" t="s">
        <v>326</v>
      </c>
      <c r="C130" s="6">
        <v>8</v>
      </c>
      <c r="D130" s="6">
        <v>9</v>
      </c>
      <c r="E130" s="6">
        <v>7</v>
      </c>
      <c r="F130" s="6">
        <v>3</v>
      </c>
      <c r="G130" s="9">
        <v>45889.4776388889</v>
      </c>
      <c r="H130" s="9">
        <v>45889.644305555601</v>
      </c>
      <c r="I130" s="9">
        <v>45890.885972222197</v>
      </c>
      <c r="J130" s="9">
        <v>45891.885972222197</v>
      </c>
      <c r="K130" s="7" t="s">
        <v>198</v>
      </c>
      <c r="L130" s="10">
        <f t="shared" ref="L130:L193" si="8">IF(ISBLANK(H130),"",(H130-G130)*24)</f>
        <v>4.0000000008149073</v>
      </c>
      <c r="M130" s="10">
        <f t="shared" ref="M130:M193" si="9">IF(ISBLANK(I130),"",(I130-H130)*24)</f>
        <v>29.799999998300336</v>
      </c>
      <c r="N130" s="10">
        <f t="shared" ref="N130:N193" si="10">IF(ISBLANK(J130),"",(J130-G130)*24)</f>
        <v>57.799999999115244</v>
      </c>
      <c r="O130" s="7" t="str">
        <f>IF(ISBLANK(I130),"N/A",IF(((I130-H130)*24)&gt;INDEX(Dim_ServiceType!$E$2:$E$16,MATCH(E130,Dim_ServiceType!$A$2:$A$16,0)),"Yes","No"))</f>
        <v>Yes</v>
      </c>
      <c r="P130" s="7" t="str">
        <f t="shared" ref="P130:P193" si="11">IF(ISBLANK(H130),"Open (Unassigned)",IF(ISBLANK(I130),"In Progress",IF(ISBLANK(J130),"Resolved (Pending Closure)","Closed")))</f>
        <v>Closed</v>
      </c>
      <c r="Q130" s="6">
        <v>2</v>
      </c>
      <c r="R130" s="7" t="s">
        <v>196</v>
      </c>
    </row>
    <row r="131" spans="1:18" x14ac:dyDescent="0.35">
      <c r="A131" s="6">
        <v>130</v>
      </c>
      <c r="B131" s="7" t="s">
        <v>327</v>
      </c>
      <c r="C131" s="6">
        <v>5</v>
      </c>
      <c r="D131" s="6">
        <v>7</v>
      </c>
      <c r="E131" s="6">
        <v>8</v>
      </c>
      <c r="F131" s="6">
        <v>4</v>
      </c>
      <c r="G131" s="9">
        <v>45993.467407407399</v>
      </c>
      <c r="H131" s="9"/>
      <c r="I131" s="9"/>
      <c r="J131" s="9"/>
      <c r="K131" s="7" t="s">
        <v>200</v>
      </c>
      <c r="L131" s="10" t="str">
        <f t="shared" si="8"/>
        <v/>
      </c>
      <c r="M131" s="10" t="str">
        <f t="shared" si="9"/>
        <v/>
      </c>
      <c r="N131" s="10" t="str">
        <f t="shared" si="10"/>
        <v/>
      </c>
      <c r="O131" s="7" t="str">
        <f>IF(ISBLANK(I131),"N/A",IF(((I131-H131)*24)&gt;INDEX(Dim_ServiceType!$E$2:$E$16,MATCH(E131,Dim_ServiceType!$A$2:$A$16,0)),"Yes","No"))</f>
        <v>N/A</v>
      </c>
      <c r="P131" s="7" t="str">
        <f t="shared" si="11"/>
        <v>Open (Unassigned)</v>
      </c>
      <c r="Q131" s="6"/>
      <c r="R131" s="7"/>
    </row>
    <row r="132" spans="1:18" x14ac:dyDescent="0.35">
      <c r="A132" s="6">
        <v>131</v>
      </c>
      <c r="B132" s="7" t="s">
        <v>328</v>
      </c>
      <c r="C132" s="6">
        <v>6</v>
      </c>
      <c r="D132" s="6">
        <v>4</v>
      </c>
      <c r="E132" s="6">
        <v>12</v>
      </c>
      <c r="F132" s="6">
        <v>8</v>
      </c>
      <c r="G132" s="9">
        <v>45872.256701388898</v>
      </c>
      <c r="H132" s="9">
        <v>45872.590034722198</v>
      </c>
      <c r="I132" s="9">
        <v>45872.944201388898</v>
      </c>
      <c r="J132" s="9">
        <v>45873.944201388898</v>
      </c>
      <c r="K132" s="7" t="s">
        <v>198</v>
      </c>
      <c r="L132" s="10">
        <f t="shared" si="8"/>
        <v>7.9999999991850927</v>
      </c>
      <c r="M132" s="10">
        <f t="shared" si="9"/>
        <v>8.5000000008149073</v>
      </c>
      <c r="N132" s="10">
        <f t="shared" si="10"/>
        <v>40.5</v>
      </c>
      <c r="O132" s="7" t="str">
        <f>IF(ISBLANK(I132),"N/A",IF(((I132-H132)*24)&gt;INDEX(Dim_ServiceType!$E$2:$E$16,MATCH(E132,Dim_ServiceType!$A$2:$A$16,0)),"Yes","No"))</f>
        <v>No</v>
      </c>
      <c r="P132" s="7" t="str">
        <f t="shared" si="11"/>
        <v>Closed</v>
      </c>
      <c r="Q132" s="6">
        <v>1</v>
      </c>
      <c r="R132" s="7" t="s">
        <v>196</v>
      </c>
    </row>
    <row r="133" spans="1:18" x14ac:dyDescent="0.35">
      <c r="A133" s="6">
        <v>132</v>
      </c>
      <c r="B133" s="7" t="s">
        <v>329</v>
      </c>
      <c r="C133" s="6">
        <v>2</v>
      </c>
      <c r="D133" s="6">
        <v>6</v>
      </c>
      <c r="E133" s="6">
        <v>1</v>
      </c>
      <c r="F133" s="6">
        <v>13</v>
      </c>
      <c r="G133" s="9">
        <v>45862.7645486111</v>
      </c>
      <c r="H133" s="9">
        <v>45862.9312152778</v>
      </c>
      <c r="I133" s="9">
        <v>45863.114548611098</v>
      </c>
      <c r="J133" s="9">
        <v>45863.614548611098</v>
      </c>
      <c r="K133" s="7" t="s">
        <v>192</v>
      </c>
      <c r="L133" s="10">
        <f t="shared" si="8"/>
        <v>4.0000000008149073</v>
      </c>
      <c r="M133" s="10">
        <f t="shared" si="9"/>
        <v>4.3999999991501682</v>
      </c>
      <c r="N133" s="10">
        <f t="shared" si="10"/>
        <v>20.399999999965075</v>
      </c>
      <c r="O133" s="7" t="str">
        <f>IF(ISBLANK(I133),"N/A",IF(((I133-H133)*24)&gt;INDEX(Dim_ServiceType!$E$2:$E$16,MATCH(E133,Dim_ServiceType!$A$2:$A$16,0)),"Yes","No"))</f>
        <v>Yes</v>
      </c>
      <c r="P133" s="7" t="str">
        <f t="shared" si="11"/>
        <v>Closed</v>
      </c>
      <c r="Q133" s="6">
        <v>4</v>
      </c>
      <c r="R133" s="7" t="s">
        <v>196</v>
      </c>
    </row>
    <row r="134" spans="1:18" x14ac:dyDescent="0.35">
      <c r="A134" s="6">
        <v>133</v>
      </c>
      <c r="B134" s="7" t="s">
        <v>330</v>
      </c>
      <c r="C134" s="6">
        <v>11</v>
      </c>
      <c r="D134" s="6">
        <v>2</v>
      </c>
      <c r="E134" s="6">
        <v>3</v>
      </c>
      <c r="F134" s="6">
        <v>15</v>
      </c>
      <c r="G134" s="9">
        <v>45916.808611111097</v>
      </c>
      <c r="H134" s="9">
        <v>45917.058611111097</v>
      </c>
      <c r="I134" s="9">
        <v>45917.237777777802</v>
      </c>
      <c r="J134" s="9">
        <v>45917.404444444401</v>
      </c>
      <c r="K134" s="7" t="s">
        <v>198</v>
      </c>
      <c r="L134" s="10">
        <f t="shared" si="8"/>
        <v>6</v>
      </c>
      <c r="M134" s="10">
        <f t="shared" si="9"/>
        <v>4.300000000919681</v>
      </c>
      <c r="N134" s="10">
        <f t="shared" si="10"/>
        <v>14.299999999289867</v>
      </c>
      <c r="O134" s="7" t="str">
        <f>IF(ISBLANK(I134),"N/A",IF(((I134-H134)*24)&gt;INDEX(Dim_ServiceType!$E$2:$E$16,MATCH(E134,Dim_ServiceType!$A$2:$A$16,0)),"Yes","No"))</f>
        <v>No</v>
      </c>
      <c r="P134" s="7" t="str">
        <f t="shared" si="11"/>
        <v>Closed</v>
      </c>
      <c r="Q134" s="6">
        <v>4</v>
      </c>
      <c r="R134" s="7" t="s">
        <v>196</v>
      </c>
    </row>
    <row r="135" spans="1:18" x14ac:dyDescent="0.35">
      <c r="A135" s="6">
        <v>134</v>
      </c>
      <c r="B135" s="7" t="s">
        <v>331</v>
      </c>
      <c r="C135" s="6">
        <v>11</v>
      </c>
      <c r="D135" s="6">
        <v>12</v>
      </c>
      <c r="E135" s="6">
        <v>3</v>
      </c>
      <c r="F135" s="6">
        <v>10</v>
      </c>
      <c r="G135" s="9">
        <v>45945.484074074098</v>
      </c>
      <c r="H135" s="9">
        <v>45945.650740740697</v>
      </c>
      <c r="I135" s="9">
        <v>45946.017407407402</v>
      </c>
      <c r="J135" s="9">
        <v>45946.184074074103</v>
      </c>
      <c r="K135" s="7" t="s">
        <v>198</v>
      </c>
      <c r="L135" s="10">
        <f t="shared" si="8"/>
        <v>3.9999999983701855</v>
      </c>
      <c r="M135" s="10">
        <f t="shared" si="9"/>
        <v>8.800000000919681</v>
      </c>
      <c r="N135" s="10">
        <f t="shared" si="10"/>
        <v>16.800000000104774</v>
      </c>
      <c r="O135" s="7" t="str">
        <f>IF(ISBLANK(I135),"N/A",IF(((I135-H135)*24)&gt;INDEX(Dim_ServiceType!$E$2:$E$16,MATCH(E135,Dim_ServiceType!$A$2:$A$16,0)),"Yes","No"))</f>
        <v>Yes</v>
      </c>
      <c r="P135" s="7" t="str">
        <f t="shared" si="11"/>
        <v>Closed</v>
      </c>
      <c r="Q135" s="6">
        <v>3</v>
      </c>
      <c r="R135" s="7" t="s">
        <v>196</v>
      </c>
    </row>
    <row r="136" spans="1:18" x14ac:dyDescent="0.35">
      <c r="A136" s="6">
        <v>135</v>
      </c>
      <c r="B136" s="7" t="s">
        <v>332</v>
      </c>
      <c r="C136" s="6">
        <v>11</v>
      </c>
      <c r="D136" s="6">
        <v>1</v>
      </c>
      <c r="E136" s="6">
        <v>5</v>
      </c>
      <c r="F136" s="6">
        <v>3</v>
      </c>
      <c r="G136" s="9">
        <v>45957.342766203699</v>
      </c>
      <c r="H136" s="9">
        <v>45957.676099536999</v>
      </c>
      <c r="I136" s="9">
        <v>45958.0719328704</v>
      </c>
      <c r="J136" s="9">
        <v>45958.3219328704</v>
      </c>
      <c r="K136" s="7" t="s">
        <v>192</v>
      </c>
      <c r="L136" s="10">
        <f t="shared" si="8"/>
        <v>7.9999999991850927</v>
      </c>
      <c r="M136" s="10">
        <f t="shared" si="9"/>
        <v>9.5000000016298145</v>
      </c>
      <c r="N136" s="10">
        <f t="shared" si="10"/>
        <v>23.500000000814907</v>
      </c>
      <c r="O136" s="7" t="str">
        <f>IF(ISBLANK(I136),"N/A",IF(((I136-H136)*24)&gt;INDEX(Dim_ServiceType!$E$2:$E$16,MATCH(E136,Dim_ServiceType!$A$2:$A$16,0)),"Yes","No"))</f>
        <v>No</v>
      </c>
      <c r="P136" s="7" t="str">
        <f t="shared" si="11"/>
        <v>Closed</v>
      </c>
      <c r="Q136" s="6">
        <v>4</v>
      </c>
      <c r="R136" s="7" t="s">
        <v>193</v>
      </c>
    </row>
    <row r="137" spans="1:18" x14ac:dyDescent="0.35">
      <c r="A137" s="6">
        <v>136</v>
      </c>
      <c r="B137" s="7" t="s">
        <v>333</v>
      </c>
      <c r="C137" s="6">
        <v>1</v>
      </c>
      <c r="D137" s="6">
        <v>6</v>
      </c>
      <c r="E137" s="6">
        <v>7</v>
      </c>
      <c r="F137" s="6">
        <v>8</v>
      </c>
      <c r="G137" s="9">
        <v>45799.526990740698</v>
      </c>
      <c r="H137" s="9">
        <v>45799.651990740698</v>
      </c>
      <c r="I137" s="9">
        <v>45800.6561574074</v>
      </c>
      <c r="J137" s="9">
        <v>45800.697824074101</v>
      </c>
      <c r="K137" s="7" t="s">
        <v>198</v>
      </c>
      <c r="L137" s="10">
        <f t="shared" si="8"/>
        <v>3</v>
      </c>
      <c r="M137" s="10">
        <f t="shared" si="9"/>
        <v>24.100000000849832</v>
      </c>
      <c r="N137" s="10">
        <f t="shared" si="10"/>
        <v>28.100000001664739</v>
      </c>
      <c r="O137" s="7" t="str">
        <f>IF(ISBLANK(I137),"N/A",IF(((I137-H137)*24)&gt;INDEX(Dim_ServiceType!$E$2:$E$16,MATCH(E137,Dim_ServiceType!$A$2:$A$16,0)),"Yes","No"))</f>
        <v>Yes</v>
      </c>
      <c r="P137" s="7" t="str">
        <f t="shared" si="11"/>
        <v>Closed</v>
      </c>
      <c r="Q137" s="6">
        <v>4</v>
      </c>
      <c r="R137" s="7" t="s">
        <v>196</v>
      </c>
    </row>
    <row r="138" spans="1:18" x14ac:dyDescent="0.35">
      <c r="A138" s="6">
        <v>137</v>
      </c>
      <c r="B138" s="7" t="s">
        <v>334</v>
      </c>
      <c r="C138" s="6">
        <v>4</v>
      </c>
      <c r="D138" s="6">
        <v>1</v>
      </c>
      <c r="E138" s="6">
        <v>4</v>
      </c>
      <c r="F138" s="6">
        <v>6</v>
      </c>
      <c r="G138" s="9">
        <v>45821.347789351901</v>
      </c>
      <c r="H138" s="9">
        <v>45821.847789351901</v>
      </c>
      <c r="I138" s="9">
        <v>45822.985289351898</v>
      </c>
      <c r="J138" s="9">
        <v>45823.985289351898</v>
      </c>
      <c r="K138" s="7" t="s">
        <v>195</v>
      </c>
      <c r="L138" s="10">
        <f t="shared" si="8"/>
        <v>12</v>
      </c>
      <c r="M138" s="10">
        <f t="shared" si="9"/>
        <v>27.299999999930151</v>
      </c>
      <c r="N138" s="10">
        <f t="shared" si="10"/>
        <v>63.299999999930151</v>
      </c>
      <c r="O138" s="7" t="str">
        <f>IF(ISBLANK(I138),"N/A",IF(((I138-H138)*24)&gt;INDEX(Dim_ServiceType!$E$2:$E$16,MATCH(E138,Dim_ServiceType!$A$2:$A$16,0)),"Yes","No"))</f>
        <v>Yes</v>
      </c>
      <c r="P138" s="7" t="str">
        <f t="shared" si="11"/>
        <v>Closed</v>
      </c>
      <c r="Q138" s="6">
        <v>5</v>
      </c>
      <c r="R138" s="7" t="s">
        <v>196</v>
      </c>
    </row>
    <row r="139" spans="1:18" x14ac:dyDescent="0.35">
      <c r="A139" s="6">
        <v>138</v>
      </c>
      <c r="B139" s="7" t="s">
        <v>335</v>
      </c>
      <c r="C139" s="6">
        <v>15</v>
      </c>
      <c r="D139" s="6">
        <v>8</v>
      </c>
      <c r="E139" s="6">
        <v>4</v>
      </c>
      <c r="F139" s="6">
        <v>2</v>
      </c>
      <c r="G139" s="9">
        <v>45873.254363425898</v>
      </c>
      <c r="H139" s="9">
        <v>45873.421030092599</v>
      </c>
      <c r="I139" s="9">
        <v>45874.504363425898</v>
      </c>
      <c r="J139" s="9">
        <v>45875.004363425898</v>
      </c>
      <c r="K139" s="7" t="s">
        <v>195</v>
      </c>
      <c r="L139" s="10">
        <f t="shared" si="8"/>
        <v>4.0000000008149073</v>
      </c>
      <c r="M139" s="10">
        <f t="shared" si="9"/>
        <v>25.999999999185093</v>
      </c>
      <c r="N139" s="10">
        <f t="shared" si="10"/>
        <v>42</v>
      </c>
      <c r="O139" s="7" t="str">
        <f>IF(ISBLANK(I139),"N/A",IF(((I139-H139)*24)&gt;INDEX(Dim_ServiceType!$E$2:$E$16,MATCH(E139,Dim_ServiceType!$A$2:$A$16,0)),"Yes","No"))</f>
        <v>Yes</v>
      </c>
      <c r="P139" s="7" t="str">
        <f t="shared" si="11"/>
        <v>Closed</v>
      </c>
      <c r="Q139" s="6">
        <v>3</v>
      </c>
      <c r="R139" s="7" t="s">
        <v>196</v>
      </c>
    </row>
    <row r="140" spans="1:18" x14ac:dyDescent="0.35">
      <c r="A140" s="6">
        <v>139</v>
      </c>
      <c r="B140" s="7" t="s">
        <v>336</v>
      </c>
      <c r="C140" s="6">
        <v>11</v>
      </c>
      <c r="D140" s="6">
        <v>7</v>
      </c>
      <c r="E140" s="6">
        <v>13</v>
      </c>
      <c r="F140" s="6">
        <v>11</v>
      </c>
      <c r="G140" s="9">
        <v>45742.689236111102</v>
      </c>
      <c r="H140" s="9">
        <v>45743.439236111102</v>
      </c>
      <c r="I140" s="9">
        <v>45744.730902777803</v>
      </c>
      <c r="J140" s="9">
        <v>45744.814236111102</v>
      </c>
      <c r="K140" s="7" t="s">
        <v>200</v>
      </c>
      <c r="L140" s="10">
        <f t="shared" si="8"/>
        <v>18</v>
      </c>
      <c r="M140" s="10">
        <f t="shared" si="9"/>
        <v>31.000000000814907</v>
      </c>
      <c r="N140" s="10">
        <f t="shared" si="10"/>
        <v>51</v>
      </c>
      <c r="O140" s="7" t="str">
        <f>IF(ISBLANK(I140),"N/A",IF(((I140-H140)*24)&gt;INDEX(Dim_ServiceType!$E$2:$E$16,MATCH(E140,Dim_ServiceType!$A$2:$A$16,0)),"Yes","No"))</f>
        <v>Yes</v>
      </c>
      <c r="P140" s="7" t="str">
        <f t="shared" si="11"/>
        <v>Closed</v>
      </c>
      <c r="Q140" s="6">
        <v>2</v>
      </c>
      <c r="R140" s="7" t="s">
        <v>196</v>
      </c>
    </row>
    <row r="141" spans="1:18" x14ac:dyDescent="0.35">
      <c r="A141" s="6">
        <v>140</v>
      </c>
      <c r="B141" s="7" t="s">
        <v>337</v>
      </c>
      <c r="C141" s="6">
        <v>1</v>
      </c>
      <c r="D141" s="6">
        <v>4</v>
      </c>
      <c r="E141" s="6">
        <v>1</v>
      </c>
      <c r="F141" s="6">
        <v>13</v>
      </c>
      <c r="G141" s="9">
        <v>45811.457060185203</v>
      </c>
      <c r="H141" s="9">
        <v>45811.790393518502</v>
      </c>
      <c r="I141" s="9">
        <v>45811.977893518502</v>
      </c>
      <c r="J141" s="9">
        <v>45812.477893518502</v>
      </c>
      <c r="K141" s="7" t="s">
        <v>207</v>
      </c>
      <c r="L141" s="10">
        <f t="shared" si="8"/>
        <v>7.9999999991850927</v>
      </c>
      <c r="M141" s="10">
        <f t="shared" si="9"/>
        <v>4.5</v>
      </c>
      <c r="N141" s="10">
        <f t="shared" si="10"/>
        <v>24.499999999185093</v>
      </c>
      <c r="O141" s="7" t="str">
        <f>IF(ISBLANK(I141),"N/A",IF(((I141-H141)*24)&gt;INDEX(Dim_ServiceType!$E$2:$E$16,MATCH(E141,Dim_ServiceType!$A$2:$A$16,0)),"Yes","No"))</f>
        <v>Yes</v>
      </c>
      <c r="P141" s="7" t="str">
        <f t="shared" si="11"/>
        <v>Closed</v>
      </c>
      <c r="Q141" s="6">
        <v>5</v>
      </c>
      <c r="R141" s="7" t="s">
        <v>193</v>
      </c>
    </row>
    <row r="142" spans="1:18" x14ac:dyDescent="0.35">
      <c r="A142" s="6">
        <v>141</v>
      </c>
      <c r="B142" s="7" t="s">
        <v>338</v>
      </c>
      <c r="C142" s="6">
        <v>14</v>
      </c>
      <c r="D142" s="6">
        <v>12</v>
      </c>
      <c r="E142" s="6">
        <v>13</v>
      </c>
      <c r="F142" s="6">
        <v>12</v>
      </c>
      <c r="G142" s="9">
        <v>46000.606793981497</v>
      </c>
      <c r="H142" s="9">
        <v>46000.940127314803</v>
      </c>
      <c r="I142" s="9">
        <v>46001.877627314803</v>
      </c>
      <c r="J142" s="9">
        <v>46002.044293981497</v>
      </c>
      <c r="K142" s="7" t="s">
        <v>200</v>
      </c>
      <c r="L142" s="10">
        <f t="shared" si="8"/>
        <v>7.9999999993597157</v>
      </c>
      <c r="M142" s="10">
        <f t="shared" si="9"/>
        <v>22.5</v>
      </c>
      <c r="N142" s="10">
        <f t="shared" si="10"/>
        <v>34.5</v>
      </c>
      <c r="O142" s="7" t="str">
        <f>IF(ISBLANK(I142),"N/A",IF(((I142-H142)*24)&gt;INDEX(Dim_ServiceType!$E$2:$E$16,MATCH(E142,Dim_ServiceType!$A$2:$A$16,0)),"Yes","No"))</f>
        <v>No</v>
      </c>
      <c r="P142" s="7" t="str">
        <f t="shared" si="11"/>
        <v>Closed</v>
      </c>
      <c r="Q142" s="6">
        <v>3</v>
      </c>
      <c r="R142" s="7" t="s">
        <v>196</v>
      </c>
    </row>
    <row r="143" spans="1:18" x14ac:dyDescent="0.35">
      <c r="A143" s="6">
        <v>142</v>
      </c>
      <c r="B143" s="7" t="s">
        <v>339</v>
      </c>
      <c r="C143" s="6">
        <v>5</v>
      </c>
      <c r="D143" s="6">
        <v>1</v>
      </c>
      <c r="E143" s="6">
        <v>15</v>
      </c>
      <c r="F143" s="6">
        <v>4</v>
      </c>
      <c r="G143" s="9">
        <v>45798.7402083333</v>
      </c>
      <c r="H143" s="9">
        <v>45798.9902083333</v>
      </c>
      <c r="I143" s="9">
        <v>45799.698541666701</v>
      </c>
      <c r="J143" s="9">
        <v>45800.698541666701</v>
      </c>
      <c r="K143" s="7" t="s">
        <v>195</v>
      </c>
      <c r="L143" s="10">
        <f t="shared" si="8"/>
        <v>6</v>
      </c>
      <c r="M143" s="10">
        <f t="shared" si="9"/>
        <v>17.000000001629815</v>
      </c>
      <c r="N143" s="10">
        <f t="shared" si="10"/>
        <v>47.000000001629815</v>
      </c>
      <c r="O143" s="7" t="str">
        <f>IF(ISBLANK(I143),"N/A",IF(((I143-H143)*24)&gt;INDEX(Dim_ServiceType!$E$2:$E$16,MATCH(E143,Dim_ServiceType!$A$2:$A$16,0)),"Yes","No"))</f>
        <v>No</v>
      </c>
      <c r="P143" s="7" t="str">
        <f t="shared" si="11"/>
        <v>Closed</v>
      </c>
      <c r="Q143" s="6">
        <v>5</v>
      </c>
      <c r="R143" s="7" t="s">
        <v>196</v>
      </c>
    </row>
    <row r="144" spans="1:18" x14ac:dyDescent="0.35">
      <c r="A144" s="6">
        <v>143</v>
      </c>
      <c r="B144" s="7" t="s">
        <v>340</v>
      </c>
      <c r="C144" s="6">
        <v>14</v>
      </c>
      <c r="D144" s="6">
        <v>4</v>
      </c>
      <c r="E144" s="6">
        <v>9</v>
      </c>
      <c r="F144" s="6">
        <v>15</v>
      </c>
      <c r="G144" s="9">
        <v>45826.937372685199</v>
      </c>
      <c r="H144" s="9">
        <v>45826.958206018498</v>
      </c>
      <c r="I144" s="9">
        <v>45828.887372685203</v>
      </c>
      <c r="J144" s="9">
        <v>45829.137372685203</v>
      </c>
      <c r="K144" s="7" t="s">
        <v>198</v>
      </c>
      <c r="L144" s="10">
        <f t="shared" si="8"/>
        <v>0.49999999918509275</v>
      </c>
      <c r="M144" s="10">
        <f t="shared" si="9"/>
        <v>46.300000000919681</v>
      </c>
      <c r="N144" s="10">
        <f t="shared" si="10"/>
        <v>52.800000000104774</v>
      </c>
      <c r="O144" s="7" t="str">
        <f>IF(ISBLANK(I144),"N/A",IF(((I144-H144)*24)&gt;INDEX(Dim_ServiceType!$E$2:$E$16,MATCH(E144,Dim_ServiceType!$A$2:$A$16,0)),"Yes","No"))</f>
        <v>No</v>
      </c>
      <c r="P144" s="7" t="str">
        <f t="shared" si="11"/>
        <v>Closed</v>
      </c>
      <c r="Q144" s="6">
        <v>3</v>
      </c>
      <c r="R144" s="7" t="s">
        <v>196</v>
      </c>
    </row>
    <row r="145" spans="1:18" x14ac:dyDescent="0.35">
      <c r="A145" s="6">
        <v>144</v>
      </c>
      <c r="B145" s="7" t="s">
        <v>341</v>
      </c>
      <c r="C145" s="6">
        <v>3</v>
      </c>
      <c r="D145" s="6">
        <v>15</v>
      </c>
      <c r="E145" s="6">
        <v>6</v>
      </c>
      <c r="F145" s="6">
        <v>15</v>
      </c>
      <c r="G145" s="9">
        <v>45867.277858796297</v>
      </c>
      <c r="H145" s="9">
        <v>45867.527858796297</v>
      </c>
      <c r="I145" s="9"/>
      <c r="J145" s="9"/>
      <c r="K145" s="7" t="s">
        <v>207</v>
      </c>
      <c r="L145" s="10">
        <f t="shared" si="8"/>
        <v>6</v>
      </c>
      <c r="M145" s="10" t="str">
        <f t="shared" si="9"/>
        <v/>
      </c>
      <c r="N145" s="10" t="str">
        <f t="shared" si="10"/>
        <v/>
      </c>
      <c r="O145" s="7" t="str">
        <f>IF(ISBLANK(I145),"N/A",IF(((I145-H145)*24)&gt;INDEX(Dim_ServiceType!$E$2:$E$16,MATCH(E145,Dim_ServiceType!$A$2:$A$16,0)),"Yes","No"))</f>
        <v>N/A</v>
      </c>
      <c r="P145" s="7" t="str">
        <f t="shared" si="11"/>
        <v>In Progress</v>
      </c>
      <c r="Q145" s="6"/>
      <c r="R145" s="7"/>
    </row>
    <row r="146" spans="1:18" x14ac:dyDescent="0.35">
      <c r="A146" s="6">
        <v>145</v>
      </c>
      <c r="B146" s="7" t="s">
        <v>342</v>
      </c>
      <c r="C146" s="6">
        <v>7</v>
      </c>
      <c r="D146" s="6">
        <v>12</v>
      </c>
      <c r="E146" s="6">
        <v>1</v>
      </c>
      <c r="F146" s="6">
        <v>11</v>
      </c>
      <c r="G146" s="9">
        <v>45822.238229166702</v>
      </c>
      <c r="H146" s="9">
        <v>45823.238229166702</v>
      </c>
      <c r="I146" s="9">
        <v>45823.350729166697</v>
      </c>
      <c r="J146" s="9">
        <v>45823.850729166697</v>
      </c>
      <c r="K146" s="7" t="s">
        <v>195</v>
      </c>
      <c r="L146" s="10">
        <f t="shared" si="8"/>
        <v>24</v>
      </c>
      <c r="M146" s="10">
        <f t="shared" si="9"/>
        <v>2.6999999998952262</v>
      </c>
      <c r="N146" s="10">
        <f t="shared" si="10"/>
        <v>38.699999999895226</v>
      </c>
      <c r="O146" s="7" t="str">
        <f>IF(ISBLANK(I146),"N/A",IF(((I146-H146)*24)&gt;INDEX(Dim_ServiceType!$E$2:$E$16,MATCH(E146,Dim_ServiceType!$A$2:$A$16,0)),"Yes","No"))</f>
        <v>No</v>
      </c>
      <c r="P146" s="7" t="str">
        <f t="shared" si="11"/>
        <v>Closed</v>
      </c>
      <c r="Q146" s="6">
        <v>5</v>
      </c>
      <c r="R146" s="7" t="s">
        <v>196</v>
      </c>
    </row>
    <row r="147" spans="1:18" x14ac:dyDescent="0.35">
      <c r="A147" s="6">
        <v>146</v>
      </c>
      <c r="B147" s="7" t="s">
        <v>343</v>
      </c>
      <c r="C147" s="6">
        <v>13</v>
      </c>
      <c r="D147" s="6">
        <v>15</v>
      </c>
      <c r="E147" s="6">
        <v>4</v>
      </c>
      <c r="F147" s="6">
        <v>13</v>
      </c>
      <c r="G147" s="9">
        <v>45930.421192129601</v>
      </c>
      <c r="H147" s="9">
        <v>45930.442025463002</v>
      </c>
      <c r="I147" s="9">
        <v>45931.183692129598</v>
      </c>
      <c r="J147" s="9">
        <v>45931.204525462999</v>
      </c>
      <c r="K147" s="7" t="s">
        <v>195</v>
      </c>
      <c r="L147" s="10">
        <f t="shared" si="8"/>
        <v>0.50000000162981451</v>
      </c>
      <c r="M147" s="10">
        <f t="shared" si="9"/>
        <v>17.799999998300336</v>
      </c>
      <c r="N147" s="10">
        <f t="shared" si="10"/>
        <v>18.800000001559965</v>
      </c>
      <c r="O147" s="7" t="str">
        <f>IF(ISBLANK(I147),"N/A",IF(((I147-H147)*24)&gt;INDEX(Dim_ServiceType!$E$2:$E$16,MATCH(E147,Dim_ServiceType!$A$2:$A$16,0)),"Yes","No"))</f>
        <v>No</v>
      </c>
      <c r="P147" s="7" t="str">
        <f t="shared" si="11"/>
        <v>Closed</v>
      </c>
      <c r="Q147" s="6">
        <v>2</v>
      </c>
      <c r="R147" s="7" t="s">
        <v>193</v>
      </c>
    </row>
    <row r="148" spans="1:18" x14ac:dyDescent="0.35">
      <c r="A148" s="6">
        <v>147</v>
      </c>
      <c r="B148" s="7" t="s">
        <v>344</v>
      </c>
      <c r="C148" s="6">
        <v>6</v>
      </c>
      <c r="D148" s="6">
        <v>10</v>
      </c>
      <c r="E148" s="6">
        <v>12</v>
      </c>
      <c r="F148" s="6">
        <v>6</v>
      </c>
      <c r="G148" s="9">
        <v>45984.255405092597</v>
      </c>
      <c r="H148" s="9">
        <v>45984.422071759298</v>
      </c>
      <c r="I148" s="9">
        <v>45984.9304050926</v>
      </c>
      <c r="J148" s="9">
        <v>45984.9512384259</v>
      </c>
      <c r="K148" s="7" t="s">
        <v>192</v>
      </c>
      <c r="L148" s="10">
        <f t="shared" si="8"/>
        <v>4.0000000008149073</v>
      </c>
      <c r="M148" s="10">
        <f t="shared" si="9"/>
        <v>12.199999999254942</v>
      </c>
      <c r="N148" s="10">
        <f t="shared" si="10"/>
        <v>16.699999999254942</v>
      </c>
      <c r="O148" s="7" t="str">
        <f>IF(ISBLANK(I148),"N/A",IF(((I148-H148)*24)&gt;INDEX(Dim_ServiceType!$E$2:$E$16,MATCH(E148,Dim_ServiceType!$A$2:$A$16,0)),"Yes","No"))</f>
        <v>No</v>
      </c>
      <c r="P148" s="7" t="str">
        <f t="shared" si="11"/>
        <v>Closed</v>
      </c>
      <c r="Q148" s="6">
        <v>4</v>
      </c>
      <c r="R148" s="7" t="s">
        <v>196</v>
      </c>
    </row>
    <row r="149" spans="1:18" x14ac:dyDescent="0.35">
      <c r="A149" s="6">
        <v>148</v>
      </c>
      <c r="B149" s="7" t="s">
        <v>345</v>
      </c>
      <c r="C149" s="6">
        <v>15</v>
      </c>
      <c r="D149" s="6">
        <v>6</v>
      </c>
      <c r="E149" s="6">
        <v>11</v>
      </c>
      <c r="F149" s="6">
        <v>12</v>
      </c>
      <c r="G149" s="9">
        <v>45666.677951388898</v>
      </c>
      <c r="H149" s="9">
        <v>45667.677951388898</v>
      </c>
      <c r="I149" s="9">
        <v>45668.294618055603</v>
      </c>
      <c r="J149" s="9">
        <v>45668.544618055603</v>
      </c>
      <c r="K149" s="7" t="s">
        <v>207</v>
      </c>
      <c r="L149" s="10">
        <f t="shared" si="8"/>
        <v>24</v>
      </c>
      <c r="M149" s="10">
        <f t="shared" si="9"/>
        <v>14.800000000919681</v>
      </c>
      <c r="N149" s="10">
        <f t="shared" si="10"/>
        <v>44.800000000919681</v>
      </c>
      <c r="O149" s="7" t="str">
        <f>IF(ISBLANK(I149),"N/A",IF(((I149-H149)*24)&gt;INDEX(Dim_ServiceType!$E$2:$E$16,MATCH(E149,Dim_ServiceType!$A$2:$A$16,0)),"Yes","No"))</f>
        <v>Yes</v>
      </c>
      <c r="P149" s="7" t="str">
        <f t="shared" si="11"/>
        <v>Closed</v>
      </c>
      <c r="Q149" s="6">
        <v>4</v>
      </c>
      <c r="R149" s="7" t="s">
        <v>196</v>
      </c>
    </row>
    <row r="150" spans="1:18" x14ac:dyDescent="0.35">
      <c r="A150" s="6">
        <v>149</v>
      </c>
      <c r="B150" s="7" t="s">
        <v>346</v>
      </c>
      <c r="C150" s="6">
        <v>14</v>
      </c>
      <c r="D150" s="6">
        <v>4</v>
      </c>
      <c r="E150" s="6">
        <v>3</v>
      </c>
      <c r="F150" s="6">
        <v>6</v>
      </c>
      <c r="G150" s="9">
        <v>45699.072060185201</v>
      </c>
      <c r="H150" s="9">
        <v>45699.238726851901</v>
      </c>
      <c r="I150" s="9">
        <v>45699.567893518499</v>
      </c>
      <c r="J150" s="9">
        <v>45699.6512268519</v>
      </c>
      <c r="K150" s="7" t="s">
        <v>192</v>
      </c>
      <c r="L150" s="10">
        <f t="shared" si="8"/>
        <v>4.0000000008149073</v>
      </c>
      <c r="M150" s="10">
        <f t="shared" si="9"/>
        <v>7.8999999983352609</v>
      </c>
      <c r="N150" s="10">
        <f t="shared" si="10"/>
        <v>13.900000000779983</v>
      </c>
      <c r="O150" s="7" t="str">
        <f>IF(ISBLANK(I150),"N/A",IF(((I150-H150)*24)&gt;INDEX(Dim_ServiceType!$E$2:$E$16,MATCH(E150,Dim_ServiceType!$A$2:$A$16,0)),"Yes","No"))</f>
        <v>No</v>
      </c>
      <c r="P150" s="7" t="str">
        <f t="shared" si="11"/>
        <v>Closed</v>
      </c>
      <c r="Q150" s="6">
        <v>4</v>
      </c>
      <c r="R150" s="7" t="s">
        <v>196</v>
      </c>
    </row>
    <row r="151" spans="1:18" x14ac:dyDescent="0.35">
      <c r="A151" s="6">
        <v>150</v>
      </c>
      <c r="B151" s="7" t="s">
        <v>347</v>
      </c>
      <c r="C151" s="6">
        <v>3</v>
      </c>
      <c r="D151" s="6">
        <v>8</v>
      </c>
      <c r="E151" s="6">
        <v>6</v>
      </c>
      <c r="F151" s="6">
        <v>14</v>
      </c>
      <c r="G151" s="9">
        <v>45987.610266203701</v>
      </c>
      <c r="H151" s="9">
        <v>45987.631099537</v>
      </c>
      <c r="I151" s="9"/>
      <c r="J151" s="9"/>
      <c r="K151" s="7" t="s">
        <v>200</v>
      </c>
      <c r="L151" s="10">
        <f t="shared" si="8"/>
        <v>0.49999999918509275</v>
      </c>
      <c r="M151" s="10" t="str">
        <f t="shared" si="9"/>
        <v/>
      </c>
      <c r="N151" s="10" t="str">
        <f t="shared" si="10"/>
        <v/>
      </c>
      <c r="O151" s="7" t="str">
        <f>IF(ISBLANK(I151),"N/A",IF(((I151-H151)*24)&gt;INDEX(Dim_ServiceType!$E$2:$E$16,MATCH(E151,Dim_ServiceType!$A$2:$A$16,0)),"Yes","No"))</f>
        <v>N/A</v>
      </c>
      <c r="P151" s="7" t="str">
        <f t="shared" si="11"/>
        <v>In Progress</v>
      </c>
      <c r="Q151" s="6"/>
      <c r="R151" s="7"/>
    </row>
    <row r="152" spans="1:18" x14ac:dyDescent="0.35">
      <c r="A152" s="6">
        <v>151</v>
      </c>
      <c r="B152" s="7" t="s">
        <v>348</v>
      </c>
      <c r="C152" s="6">
        <v>3</v>
      </c>
      <c r="D152" s="6">
        <v>10</v>
      </c>
      <c r="E152" s="6">
        <v>5</v>
      </c>
      <c r="F152" s="6">
        <v>8</v>
      </c>
      <c r="G152" s="9">
        <v>45713.889641203699</v>
      </c>
      <c r="H152" s="9">
        <v>45714.222974536999</v>
      </c>
      <c r="I152" s="9">
        <v>45716.068807870397</v>
      </c>
      <c r="J152" s="9">
        <v>45716.568807870397</v>
      </c>
      <c r="K152" s="7" t="s">
        <v>198</v>
      </c>
      <c r="L152" s="10">
        <f t="shared" si="8"/>
        <v>7.9999999991850927</v>
      </c>
      <c r="M152" s="10">
        <f t="shared" si="9"/>
        <v>44.300000001559965</v>
      </c>
      <c r="N152" s="10">
        <f t="shared" si="10"/>
        <v>64.300000000745058</v>
      </c>
      <c r="O152" s="7" t="str">
        <f>IF(ISBLANK(I152),"N/A",IF(((I152-H152)*24)&gt;INDEX(Dim_ServiceType!$E$2:$E$16,MATCH(E152,Dim_ServiceType!$A$2:$A$16,0)),"Yes","No"))</f>
        <v>Yes</v>
      </c>
      <c r="P152" s="7" t="str">
        <f t="shared" si="11"/>
        <v>Closed</v>
      </c>
      <c r="Q152" s="6">
        <v>2</v>
      </c>
      <c r="R152" s="7" t="s">
        <v>196</v>
      </c>
    </row>
    <row r="153" spans="1:18" x14ac:dyDescent="0.35">
      <c r="A153" s="6">
        <v>152</v>
      </c>
      <c r="B153" s="7" t="s">
        <v>349</v>
      </c>
      <c r="C153" s="6">
        <v>5</v>
      </c>
      <c r="D153" s="6">
        <v>3</v>
      </c>
      <c r="E153" s="6">
        <v>4</v>
      </c>
      <c r="F153" s="6">
        <v>9</v>
      </c>
      <c r="G153" s="9">
        <v>45718.5221759259</v>
      </c>
      <c r="H153" s="9">
        <v>45719.5221759259</v>
      </c>
      <c r="I153" s="9">
        <v>45720.305509259299</v>
      </c>
      <c r="J153" s="9">
        <v>45720.555509259299</v>
      </c>
      <c r="K153" s="7" t="s">
        <v>198</v>
      </c>
      <c r="L153" s="10">
        <f t="shared" si="8"/>
        <v>24</v>
      </c>
      <c r="M153" s="10">
        <f t="shared" si="9"/>
        <v>18.800000001559965</v>
      </c>
      <c r="N153" s="10">
        <f t="shared" si="10"/>
        <v>48.800000001559965</v>
      </c>
      <c r="O153" s="7" t="str">
        <f>IF(ISBLANK(I153),"N/A",IF(((I153-H153)*24)&gt;INDEX(Dim_ServiceType!$E$2:$E$16,MATCH(E153,Dim_ServiceType!$A$2:$A$16,0)),"Yes","No"))</f>
        <v>No</v>
      </c>
      <c r="P153" s="7" t="str">
        <f t="shared" si="11"/>
        <v>Closed</v>
      </c>
      <c r="Q153" s="6">
        <v>1</v>
      </c>
      <c r="R153" s="7" t="s">
        <v>196</v>
      </c>
    </row>
    <row r="154" spans="1:18" x14ac:dyDescent="0.35">
      <c r="A154" s="6">
        <v>153</v>
      </c>
      <c r="B154" s="7" t="s">
        <v>350</v>
      </c>
      <c r="C154" s="6">
        <v>15</v>
      </c>
      <c r="D154" s="6">
        <v>13</v>
      </c>
      <c r="E154" s="6">
        <v>14</v>
      </c>
      <c r="F154" s="6">
        <v>13</v>
      </c>
      <c r="G154" s="9">
        <v>45727.302083333299</v>
      </c>
      <c r="H154" s="9">
        <v>45727.802083333299</v>
      </c>
      <c r="I154" s="9">
        <v>45728.022916666698</v>
      </c>
      <c r="J154" s="9">
        <v>45728.189583333296</v>
      </c>
      <c r="K154" s="7" t="s">
        <v>192</v>
      </c>
      <c r="L154" s="10">
        <f t="shared" si="8"/>
        <v>12</v>
      </c>
      <c r="M154" s="10">
        <f t="shared" si="9"/>
        <v>5.3000000015599653</v>
      </c>
      <c r="N154" s="10">
        <f t="shared" si="10"/>
        <v>21.299999999930151</v>
      </c>
      <c r="O154" s="7" t="str">
        <f>IF(ISBLANK(I154),"N/A",IF(((I154-H154)*24)&gt;INDEX(Dim_ServiceType!$E$2:$E$16,MATCH(E154,Dim_ServiceType!$A$2:$A$16,0)),"Yes","No"))</f>
        <v>No</v>
      </c>
      <c r="P154" s="7" t="str">
        <f t="shared" si="11"/>
        <v>Closed</v>
      </c>
      <c r="Q154" s="6">
        <v>4</v>
      </c>
      <c r="R154" s="7" t="s">
        <v>196</v>
      </c>
    </row>
    <row r="155" spans="1:18" x14ac:dyDescent="0.35">
      <c r="A155" s="6">
        <v>154</v>
      </c>
      <c r="B155" s="7" t="s">
        <v>351</v>
      </c>
      <c r="C155" s="6">
        <v>8</v>
      </c>
      <c r="D155" s="6">
        <v>12</v>
      </c>
      <c r="E155" s="6">
        <v>10</v>
      </c>
      <c r="F155" s="6">
        <v>1</v>
      </c>
      <c r="G155" s="9">
        <v>45893.1336226852</v>
      </c>
      <c r="H155" s="9">
        <v>45893.6336226852</v>
      </c>
      <c r="I155" s="9">
        <v>45893.912789351903</v>
      </c>
      <c r="J155" s="9">
        <v>45893.996122685203</v>
      </c>
      <c r="K155" s="7" t="s">
        <v>207</v>
      </c>
      <c r="L155" s="10">
        <f t="shared" si="8"/>
        <v>12</v>
      </c>
      <c r="M155" s="10">
        <f t="shared" si="9"/>
        <v>6.7000000008847564</v>
      </c>
      <c r="N155" s="10">
        <f t="shared" si="10"/>
        <v>20.700000000069849</v>
      </c>
      <c r="O155" s="7" t="str">
        <f>IF(ISBLANK(I155),"N/A",IF(((I155-H155)*24)&gt;INDEX(Dim_ServiceType!$E$2:$E$16,MATCH(E155,Dim_ServiceType!$A$2:$A$16,0)),"Yes","No"))</f>
        <v>Yes</v>
      </c>
      <c r="P155" s="7" t="str">
        <f t="shared" si="11"/>
        <v>Closed</v>
      </c>
      <c r="Q155" s="6">
        <v>1</v>
      </c>
      <c r="R155" s="7" t="s">
        <v>196</v>
      </c>
    </row>
    <row r="156" spans="1:18" x14ac:dyDescent="0.35">
      <c r="A156" s="6">
        <v>155</v>
      </c>
      <c r="B156" s="7" t="s">
        <v>352</v>
      </c>
      <c r="C156" s="6">
        <v>9</v>
      </c>
      <c r="D156" s="6">
        <v>6</v>
      </c>
      <c r="E156" s="6">
        <v>4</v>
      </c>
      <c r="F156" s="6">
        <v>4</v>
      </c>
      <c r="G156" s="9">
        <v>45978.127175925903</v>
      </c>
      <c r="H156" s="9">
        <v>45978.252175925903</v>
      </c>
      <c r="I156" s="9">
        <v>45979.431342592601</v>
      </c>
      <c r="J156" s="9">
        <v>45979.681342592601</v>
      </c>
      <c r="K156" s="7" t="s">
        <v>198</v>
      </c>
      <c r="L156" s="10">
        <f t="shared" si="8"/>
        <v>3</v>
      </c>
      <c r="M156" s="10">
        <f t="shared" si="9"/>
        <v>28.300000000745058</v>
      </c>
      <c r="N156" s="10">
        <f t="shared" si="10"/>
        <v>37.300000000745058</v>
      </c>
      <c r="O156" s="7" t="str">
        <f>IF(ISBLANK(I156),"N/A",IF(((I156-H156)*24)&gt;INDEX(Dim_ServiceType!$E$2:$E$16,MATCH(E156,Dim_ServiceType!$A$2:$A$16,0)),"Yes","No"))</f>
        <v>Yes</v>
      </c>
      <c r="P156" s="7" t="str">
        <f t="shared" si="11"/>
        <v>Closed</v>
      </c>
      <c r="Q156" s="6">
        <v>5</v>
      </c>
      <c r="R156" s="7" t="s">
        <v>193</v>
      </c>
    </row>
    <row r="157" spans="1:18" x14ac:dyDescent="0.35">
      <c r="A157" s="6">
        <v>156</v>
      </c>
      <c r="B157" s="7" t="s">
        <v>353</v>
      </c>
      <c r="C157" s="6">
        <v>10</v>
      </c>
      <c r="D157" s="6">
        <v>14</v>
      </c>
      <c r="E157" s="6">
        <v>14</v>
      </c>
      <c r="F157" s="6">
        <v>12</v>
      </c>
      <c r="G157" s="9">
        <v>45760.807233796302</v>
      </c>
      <c r="H157" s="9">
        <v>45760.848900463003</v>
      </c>
      <c r="I157" s="9">
        <v>45761.5530671296</v>
      </c>
      <c r="J157" s="9">
        <v>45761.636400463001</v>
      </c>
      <c r="K157" s="7" t="s">
        <v>192</v>
      </c>
      <c r="L157" s="10">
        <f t="shared" si="8"/>
        <v>1.0000000008149073</v>
      </c>
      <c r="M157" s="10">
        <f t="shared" si="9"/>
        <v>16.899999998335261</v>
      </c>
      <c r="N157" s="10">
        <f t="shared" si="10"/>
        <v>19.900000000779983</v>
      </c>
      <c r="O157" s="7" t="str">
        <f>IF(ISBLANK(I157),"N/A",IF(((I157-H157)*24)&gt;INDEX(Dim_ServiceType!$E$2:$E$16,MATCH(E157,Dim_ServiceType!$A$2:$A$16,0)),"Yes","No"))</f>
        <v>Yes</v>
      </c>
      <c r="P157" s="7" t="str">
        <f t="shared" si="11"/>
        <v>Closed</v>
      </c>
      <c r="Q157" s="6">
        <v>3</v>
      </c>
      <c r="R157" s="7" t="s">
        <v>196</v>
      </c>
    </row>
    <row r="158" spans="1:18" x14ac:dyDescent="0.35">
      <c r="A158" s="6">
        <v>157</v>
      </c>
      <c r="B158" s="7" t="s">
        <v>354</v>
      </c>
      <c r="C158" s="6">
        <v>10</v>
      </c>
      <c r="D158" s="6">
        <v>5</v>
      </c>
      <c r="E158" s="6">
        <v>4</v>
      </c>
      <c r="F158" s="6">
        <v>12</v>
      </c>
      <c r="G158" s="9">
        <v>45800.151851851901</v>
      </c>
      <c r="H158" s="9">
        <v>45800.651851851901</v>
      </c>
      <c r="I158" s="9">
        <v>45800.951851851903</v>
      </c>
      <c r="J158" s="9">
        <v>45801.201851851903</v>
      </c>
      <c r="K158" s="7" t="s">
        <v>207</v>
      </c>
      <c r="L158" s="10">
        <f t="shared" si="8"/>
        <v>12</v>
      </c>
      <c r="M158" s="10">
        <f t="shared" si="9"/>
        <v>7.2000000000698492</v>
      </c>
      <c r="N158" s="10">
        <f t="shared" si="10"/>
        <v>25.200000000069849</v>
      </c>
      <c r="O158" s="7" t="str">
        <f>IF(ISBLANK(I158),"N/A",IF(((I158-H158)*24)&gt;INDEX(Dim_ServiceType!$E$2:$E$16,MATCH(E158,Dim_ServiceType!$A$2:$A$16,0)),"Yes","No"))</f>
        <v>No</v>
      </c>
      <c r="P158" s="7" t="str">
        <f t="shared" si="11"/>
        <v>Closed</v>
      </c>
      <c r="Q158" s="6">
        <v>3</v>
      </c>
      <c r="R158" s="7" t="s">
        <v>196</v>
      </c>
    </row>
    <row r="159" spans="1:18" x14ac:dyDescent="0.35">
      <c r="A159" s="6">
        <v>158</v>
      </c>
      <c r="B159" s="7" t="s">
        <v>355</v>
      </c>
      <c r="C159" s="6">
        <v>11</v>
      </c>
      <c r="D159" s="6">
        <v>9</v>
      </c>
      <c r="E159" s="6">
        <v>12</v>
      </c>
      <c r="F159" s="6">
        <v>11</v>
      </c>
      <c r="G159" s="9">
        <v>45907.150347222203</v>
      </c>
      <c r="H159" s="9">
        <v>45908.150347222203</v>
      </c>
      <c r="I159" s="9">
        <v>45909.008680555598</v>
      </c>
      <c r="J159" s="9">
        <v>45909.258680555598</v>
      </c>
      <c r="K159" s="7" t="s">
        <v>207</v>
      </c>
      <c r="L159" s="10">
        <f t="shared" si="8"/>
        <v>24</v>
      </c>
      <c r="M159" s="10">
        <f t="shared" si="9"/>
        <v>20.600000001490116</v>
      </c>
      <c r="N159" s="10">
        <f t="shared" si="10"/>
        <v>50.600000001490116</v>
      </c>
      <c r="O159" s="7" t="str">
        <f>IF(ISBLANK(I159),"N/A",IF(((I159-H159)*24)&gt;INDEX(Dim_ServiceType!$E$2:$E$16,MATCH(E159,Dim_ServiceType!$A$2:$A$16,0)),"Yes","No"))</f>
        <v>No</v>
      </c>
      <c r="P159" s="7" t="str">
        <f t="shared" si="11"/>
        <v>Closed</v>
      </c>
      <c r="Q159" s="6">
        <v>2</v>
      </c>
      <c r="R159" s="7" t="s">
        <v>196</v>
      </c>
    </row>
    <row r="160" spans="1:18" x14ac:dyDescent="0.35">
      <c r="A160" s="6">
        <v>159</v>
      </c>
      <c r="B160" s="7" t="s">
        <v>356</v>
      </c>
      <c r="C160" s="6">
        <v>7</v>
      </c>
      <c r="D160" s="6">
        <v>5</v>
      </c>
      <c r="E160" s="6">
        <v>4</v>
      </c>
      <c r="F160" s="6">
        <v>7</v>
      </c>
      <c r="G160" s="9">
        <v>45816.397187499999</v>
      </c>
      <c r="H160" s="9">
        <v>45816.438854166699</v>
      </c>
      <c r="I160" s="9">
        <v>45816.826354166697</v>
      </c>
      <c r="J160" s="9">
        <v>45816.909687500003</v>
      </c>
      <c r="K160" s="7" t="s">
        <v>207</v>
      </c>
      <c r="L160" s="10">
        <f t="shared" si="8"/>
        <v>1.0000000008149073</v>
      </c>
      <c r="M160" s="10">
        <f t="shared" si="9"/>
        <v>9.2999999999301508</v>
      </c>
      <c r="N160" s="10">
        <f t="shared" si="10"/>
        <v>12.300000000104774</v>
      </c>
      <c r="O160" s="7" t="str">
        <f>IF(ISBLANK(I160),"N/A",IF(((I160-H160)*24)&gt;INDEX(Dim_ServiceType!$E$2:$E$16,MATCH(E160,Dim_ServiceType!$A$2:$A$16,0)),"Yes","No"))</f>
        <v>No</v>
      </c>
      <c r="P160" s="7" t="str">
        <f t="shared" si="11"/>
        <v>Closed</v>
      </c>
      <c r="Q160" s="6">
        <v>4</v>
      </c>
      <c r="R160" s="7" t="s">
        <v>193</v>
      </c>
    </row>
    <row r="161" spans="1:18" x14ac:dyDescent="0.35">
      <c r="A161" s="6">
        <v>160</v>
      </c>
      <c r="B161" s="7" t="s">
        <v>357</v>
      </c>
      <c r="C161" s="6">
        <v>5</v>
      </c>
      <c r="D161" s="6">
        <v>5</v>
      </c>
      <c r="E161" s="6">
        <v>14</v>
      </c>
      <c r="F161" s="6">
        <v>14</v>
      </c>
      <c r="G161" s="9">
        <v>45856.0613310185</v>
      </c>
      <c r="H161" s="9">
        <v>45856.102997685201</v>
      </c>
      <c r="I161" s="9">
        <v>45856.2446643519</v>
      </c>
      <c r="J161" s="9">
        <v>45857.2446643519</v>
      </c>
      <c r="K161" s="7" t="s">
        <v>200</v>
      </c>
      <c r="L161" s="10">
        <f t="shared" si="8"/>
        <v>1.0000000008149073</v>
      </c>
      <c r="M161" s="10">
        <f t="shared" si="9"/>
        <v>3.4000000007799827</v>
      </c>
      <c r="N161" s="10">
        <f t="shared" si="10"/>
        <v>28.40000000159489</v>
      </c>
      <c r="O161" s="7" t="str">
        <f>IF(ISBLANK(I161),"N/A",IF(((I161-H161)*24)&gt;INDEX(Dim_ServiceType!$E$2:$E$16,MATCH(E161,Dim_ServiceType!$A$2:$A$16,0)),"Yes","No"))</f>
        <v>No</v>
      </c>
      <c r="P161" s="7" t="str">
        <f t="shared" si="11"/>
        <v>Closed</v>
      </c>
      <c r="Q161" s="6">
        <v>2</v>
      </c>
      <c r="R161" s="7" t="s">
        <v>196</v>
      </c>
    </row>
    <row r="162" spans="1:18" x14ac:dyDescent="0.35">
      <c r="A162" s="6">
        <v>161</v>
      </c>
      <c r="B162" s="7" t="s">
        <v>358</v>
      </c>
      <c r="C162" s="6">
        <v>2</v>
      </c>
      <c r="D162" s="6">
        <v>12</v>
      </c>
      <c r="E162" s="6">
        <v>15</v>
      </c>
      <c r="F162" s="6">
        <v>2</v>
      </c>
      <c r="G162" s="9">
        <v>45881.603784722203</v>
      </c>
      <c r="H162" s="9">
        <v>45881.770451388897</v>
      </c>
      <c r="I162" s="9">
        <v>45882.816284722197</v>
      </c>
      <c r="J162" s="9">
        <v>45882.837118055599</v>
      </c>
      <c r="K162" s="7" t="s">
        <v>200</v>
      </c>
      <c r="L162" s="10">
        <f t="shared" si="8"/>
        <v>4.0000000006402843</v>
      </c>
      <c r="M162" s="10">
        <f t="shared" si="9"/>
        <v>25.099999999220017</v>
      </c>
      <c r="N162" s="10">
        <f t="shared" si="10"/>
        <v>29.600000001490116</v>
      </c>
      <c r="O162" s="7" t="str">
        <f>IF(ISBLANK(I162),"N/A",IF(((I162-H162)*24)&gt;INDEX(Dim_ServiceType!$E$2:$E$16,MATCH(E162,Dim_ServiceType!$A$2:$A$16,0)),"Yes","No"))</f>
        <v>Yes</v>
      </c>
      <c r="P162" s="7" t="str">
        <f t="shared" si="11"/>
        <v>Closed</v>
      </c>
      <c r="Q162" s="6">
        <v>4</v>
      </c>
      <c r="R162" s="7" t="s">
        <v>196</v>
      </c>
    </row>
    <row r="163" spans="1:18" x14ac:dyDescent="0.35">
      <c r="A163" s="6">
        <v>162</v>
      </c>
      <c r="B163" s="7" t="s">
        <v>359</v>
      </c>
      <c r="C163" s="6">
        <v>13</v>
      </c>
      <c r="D163" s="6">
        <v>11</v>
      </c>
      <c r="E163" s="6">
        <v>15</v>
      </c>
      <c r="F163" s="6">
        <v>9</v>
      </c>
      <c r="G163" s="9">
        <v>45755.5459722222</v>
      </c>
      <c r="H163" s="9">
        <v>45756.5459722222</v>
      </c>
      <c r="I163" s="9">
        <v>45757.387638888897</v>
      </c>
      <c r="J163" s="9">
        <v>45757.637638888897</v>
      </c>
      <c r="K163" s="7" t="s">
        <v>200</v>
      </c>
      <c r="L163" s="10">
        <f t="shared" si="8"/>
        <v>24</v>
      </c>
      <c r="M163" s="10">
        <f t="shared" si="9"/>
        <v>20.200000000710133</v>
      </c>
      <c r="N163" s="10">
        <f t="shared" si="10"/>
        <v>50.200000000710133</v>
      </c>
      <c r="O163" s="7" t="str">
        <f>IF(ISBLANK(I163),"N/A",IF(((I163-H163)*24)&gt;INDEX(Dim_ServiceType!$E$2:$E$16,MATCH(E163,Dim_ServiceType!$A$2:$A$16,0)),"Yes","No"))</f>
        <v>No</v>
      </c>
      <c r="P163" s="7" t="str">
        <f t="shared" si="11"/>
        <v>Closed</v>
      </c>
      <c r="Q163" s="6">
        <v>5</v>
      </c>
      <c r="R163" s="7" t="s">
        <v>196</v>
      </c>
    </row>
    <row r="164" spans="1:18" x14ac:dyDescent="0.35">
      <c r="A164" s="6">
        <v>163</v>
      </c>
      <c r="B164" s="7" t="s">
        <v>360</v>
      </c>
      <c r="C164" s="6">
        <v>13</v>
      </c>
      <c r="D164" s="6">
        <v>7</v>
      </c>
      <c r="E164" s="6">
        <v>2</v>
      </c>
      <c r="F164" s="6">
        <v>2</v>
      </c>
      <c r="G164" s="9">
        <v>45700.854409722197</v>
      </c>
      <c r="H164" s="9">
        <v>45701.354409722197</v>
      </c>
      <c r="I164" s="9">
        <v>45701.521076388897</v>
      </c>
      <c r="J164" s="9">
        <v>45701.771076388897</v>
      </c>
      <c r="K164" s="7" t="s">
        <v>207</v>
      </c>
      <c r="L164" s="10">
        <f t="shared" si="8"/>
        <v>12</v>
      </c>
      <c r="M164" s="10">
        <f t="shared" si="9"/>
        <v>4.0000000008149073</v>
      </c>
      <c r="N164" s="10">
        <f t="shared" si="10"/>
        <v>22.000000000814907</v>
      </c>
      <c r="O164" s="7" t="str">
        <f>IF(ISBLANK(I164),"N/A",IF(((I164-H164)*24)&gt;INDEX(Dim_ServiceType!$E$2:$E$16,MATCH(E164,Dim_ServiceType!$A$2:$A$16,0)),"Yes","No"))</f>
        <v>No</v>
      </c>
      <c r="P164" s="7" t="str">
        <f t="shared" si="11"/>
        <v>Closed</v>
      </c>
      <c r="Q164" s="6">
        <v>2</v>
      </c>
      <c r="R164" s="7" t="s">
        <v>196</v>
      </c>
    </row>
    <row r="165" spans="1:18" x14ac:dyDescent="0.35">
      <c r="A165" s="6">
        <v>164</v>
      </c>
      <c r="B165" s="7" t="s">
        <v>361</v>
      </c>
      <c r="C165" s="6">
        <v>13</v>
      </c>
      <c r="D165" s="6">
        <v>10</v>
      </c>
      <c r="E165" s="6">
        <v>6</v>
      </c>
      <c r="F165" s="6">
        <v>4</v>
      </c>
      <c r="G165" s="9">
        <v>45663.722824074102</v>
      </c>
      <c r="H165" s="9">
        <v>45663.972824074102</v>
      </c>
      <c r="I165" s="9">
        <v>45666.2186574074</v>
      </c>
      <c r="J165" s="9">
        <v>45666.385324074101</v>
      </c>
      <c r="K165" s="7" t="s">
        <v>207</v>
      </c>
      <c r="L165" s="10">
        <f t="shared" si="8"/>
        <v>6</v>
      </c>
      <c r="M165" s="10">
        <f t="shared" si="9"/>
        <v>53.899999999150168</v>
      </c>
      <c r="N165" s="10">
        <f t="shared" si="10"/>
        <v>63.899999999965075</v>
      </c>
      <c r="O165" s="7" t="str">
        <f>IF(ISBLANK(I165),"N/A",IF(((I165-H165)*24)&gt;INDEX(Dim_ServiceType!$E$2:$E$16,MATCH(E165,Dim_ServiceType!$A$2:$A$16,0)),"Yes","No"))</f>
        <v>Yes</v>
      </c>
      <c r="P165" s="7" t="str">
        <f t="shared" si="11"/>
        <v>Closed</v>
      </c>
      <c r="Q165" s="6">
        <v>4</v>
      </c>
      <c r="R165" s="7" t="s">
        <v>196</v>
      </c>
    </row>
    <row r="166" spans="1:18" x14ac:dyDescent="0.35">
      <c r="A166" s="6">
        <v>165</v>
      </c>
      <c r="B166" s="7" t="s">
        <v>362</v>
      </c>
      <c r="C166" s="6">
        <v>4</v>
      </c>
      <c r="D166" s="6">
        <v>11</v>
      </c>
      <c r="E166" s="6">
        <v>5</v>
      </c>
      <c r="F166" s="6">
        <v>13</v>
      </c>
      <c r="G166" s="9">
        <v>45750.987731481502</v>
      </c>
      <c r="H166" s="9">
        <v>45751.112731481502</v>
      </c>
      <c r="I166" s="9"/>
      <c r="J166" s="9"/>
      <c r="K166" s="7" t="s">
        <v>198</v>
      </c>
      <c r="L166" s="10">
        <f t="shared" si="8"/>
        <v>3</v>
      </c>
      <c r="M166" s="10" t="str">
        <f t="shared" si="9"/>
        <v/>
      </c>
      <c r="N166" s="10" t="str">
        <f t="shared" si="10"/>
        <v/>
      </c>
      <c r="O166" s="7" t="str">
        <f>IF(ISBLANK(I166),"N/A",IF(((I166-H166)*24)&gt;INDEX(Dim_ServiceType!$E$2:$E$16,MATCH(E166,Dim_ServiceType!$A$2:$A$16,0)),"Yes","No"))</f>
        <v>N/A</v>
      </c>
      <c r="P166" s="7" t="str">
        <f t="shared" si="11"/>
        <v>In Progress</v>
      </c>
      <c r="Q166" s="6"/>
      <c r="R166" s="7"/>
    </row>
    <row r="167" spans="1:18" x14ac:dyDescent="0.35">
      <c r="A167" s="6">
        <v>166</v>
      </c>
      <c r="B167" s="7" t="s">
        <v>363</v>
      </c>
      <c r="C167" s="6">
        <v>7</v>
      </c>
      <c r="D167" s="6">
        <v>4</v>
      </c>
      <c r="E167" s="6">
        <v>2</v>
      </c>
      <c r="F167" s="6">
        <v>14</v>
      </c>
      <c r="G167" s="9">
        <v>45871.024525462999</v>
      </c>
      <c r="H167" s="9">
        <v>45871.066192129598</v>
      </c>
      <c r="I167" s="9">
        <v>45871.295358796298</v>
      </c>
      <c r="J167" s="9">
        <v>45871.316192129598</v>
      </c>
      <c r="K167" s="7" t="s">
        <v>192</v>
      </c>
      <c r="L167" s="10">
        <f t="shared" si="8"/>
        <v>0.99999999837018549</v>
      </c>
      <c r="M167" s="10">
        <f t="shared" si="9"/>
        <v>5.5000000008149073</v>
      </c>
      <c r="N167" s="10">
        <f t="shared" si="10"/>
        <v>6.9999999983701855</v>
      </c>
      <c r="O167" s="7" t="str">
        <f>IF(ISBLANK(I167),"N/A",IF(((I167-H167)*24)&gt;INDEX(Dim_ServiceType!$E$2:$E$16,MATCH(E167,Dim_ServiceType!$A$2:$A$16,0)),"Yes","No"))</f>
        <v>No</v>
      </c>
      <c r="P167" s="7" t="str">
        <f t="shared" si="11"/>
        <v>Closed</v>
      </c>
      <c r="Q167" s="6">
        <v>4</v>
      </c>
      <c r="R167" s="7" t="s">
        <v>196</v>
      </c>
    </row>
    <row r="168" spans="1:18" x14ac:dyDescent="0.35">
      <c r="A168" s="6">
        <v>167</v>
      </c>
      <c r="B168" s="7" t="s">
        <v>364</v>
      </c>
      <c r="C168" s="6">
        <v>12</v>
      </c>
      <c r="D168" s="6">
        <v>6</v>
      </c>
      <c r="E168" s="6">
        <v>12</v>
      </c>
      <c r="F168" s="6">
        <v>13</v>
      </c>
      <c r="G168" s="9">
        <v>45795.929675925901</v>
      </c>
      <c r="H168" s="9">
        <v>45795.971342592602</v>
      </c>
      <c r="I168" s="9">
        <v>45797.250509259298</v>
      </c>
      <c r="J168" s="9">
        <v>45797.750509259298</v>
      </c>
      <c r="K168" s="7" t="s">
        <v>207</v>
      </c>
      <c r="L168" s="10">
        <f t="shared" si="8"/>
        <v>1.0000000008149073</v>
      </c>
      <c r="M168" s="10">
        <f t="shared" si="9"/>
        <v>30.700000000710133</v>
      </c>
      <c r="N168" s="10">
        <f t="shared" si="10"/>
        <v>43.700000001525041</v>
      </c>
      <c r="O168" s="7" t="str">
        <f>IF(ISBLANK(I168),"N/A",IF(((I168-H168)*24)&gt;INDEX(Dim_ServiceType!$E$2:$E$16,MATCH(E168,Dim_ServiceType!$A$2:$A$16,0)),"Yes","No"))</f>
        <v>Yes</v>
      </c>
      <c r="P168" s="7" t="str">
        <f t="shared" si="11"/>
        <v>Closed</v>
      </c>
      <c r="Q168" s="6">
        <v>3</v>
      </c>
      <c r="R168" s="7" t="s">
        <v>196</v>
      </c>
    </row>
    <row r="169" spans="1:18" x14ac:dyDescent="0.35">
      <c r="A169" s="6">
        <v>168</v>
      </c>
      <c r="B169" s="7" t="s">
        <v>365</v>
      </c>
      <c r="C169" s="6">
        <v>5</v>
      </c>
      <c r="D169" s="6">
        <v>9</v>
      </c>
      <c r="E169" s="6">
        <v>10</v>
      </c>
      <c r="F169" s="6">
        <v>10</v>
      </c>
      <c r="G169" s="9">
        <v>45775.639432870397</v>
      </c>
      <c r="H169" s="9">
        <v>45776.139432870397</v>
      </c>
      <c r="I169" s="9">
        <v>45776.406099537002</v>
      </c>
      <c r="J169" s="9">
        <v>45776.489432870403</v>
      </c>
      <c r="K169" s="7" t="s">
        <v>200</v>
      </c>
      <c r="L169" s="10">
        <f t="shared" si="8"/>
        <v>12</v>
      </c>
      <c r="M169" s="10">
        <f t="shared" si="9"/>
        <v>6.3999999985098839</v>
      </c>
      <c r="N169" s="10">
        <f t="shared" si="10"/>
        <v>20.400000000139698</v>
      </c>
      <c r="O169" s="7" t="str">
        <f>IF(ISBLANK(I169),"N/A",IF(((I169-H169)*24)&gt;INDEX(Dim_ServiceType!$E$2:$E$16,MATCH(E169,Dim_ServiceType!$A$2:$A$16,0)),"Yes","No"))</f>
        <v>Yes</v>
      </c>
      <c r="P169" s="7" t="str">
        <f t="shared" si="11"/>
        <v>Closed</v>
      </c>
      <c r="Q169" s="6">
        <v>5</v>
      </c>
      <c r="R169" s="7" t="s">
        <v>196</v>
      </c>
    </row>
    <row r="170" spans="1:18" x14ac:dyDescent="0.35">
      <c r="A170" s="6">
        <v>169</v>
      </c>
      <c r="B170" s="7" t="s">
        <v>366</v>
      </c>
      <c r="C170" s="6">
        <v>11</v>
      </c>
      <c r="D170" s="6">
        <v>5</v>
      </c>
      <c r="E170" s="6">
        <v>4</v>
      </c>
      <c r="F170" s="6">
        <v>4</v>
      </c>
      <c r="G170" s="9">
        <v>45902.328865740703</v>
      </c>
      <c r="H170" s="9">
        <v>45902.412199074097</v>
      </c>
      <c r="I170" s="9">
        <v>45903.508032407401</v>
      </c>
      <c r="J170" s="9">
        <v>45904.008032407401</v>
      </c>
      <c r="K170" s="7" t="s">
        <v>207</v>
      </c>
      <c r="L170" s="10">
        <f t="shared" si="8"/>
        <v>2.0000000014551915</v>
      </c>
      <c r="M170" s="10">
        <f t="shared" si="9"/>
        <v>26.299999999289867</v>
      </c>
      <c r="N170" s="10">
        <f t="shared" si="10"/>
        <v>40.300000000745058</v>
      </c>
      <c r="O170" s="7" t="str">
        <f>IF(ISBLANK(I170),"N/A",IF(((I170-H170)*24)&gt;INDEX(Dim_ServiceType!$E$2:$E$16,MATCH(E170,Dim_ServiceType!$A$2:$A$16,0)),"Yes","No"))</f>
        <v>Yes</v>
      </c>
      <c r="P170" s="7" t="str">
        <f t="shared" si="11"/>
        <v>Closed</v>
      </c>
      <c r="Q170" s="6">
        <v>5</v>
      </c>
      <c r="R170" s="7" t="s">
        <v>196</v>
      </c>
    </row>
    <row r="171" spans="1:18" x14ac:dyDescent="0.35">
      <c r="A171" s="6">
        <v>170</v>
      </c>
      <c r="B171" s="7" t="s">
        <v>367</v>
      </c>
      <c r="C171" s="6">
        <v>6</v>
      </c>
      <c r="D171" s="6">
        <v>9</v>
      </c>
      <c r="E171" s="6">
        <v>6</v>
      </c>
      <c r="F171" s="6">
        <v>12</v>
      </c>
      <c r="G171" s="9">
        <v>45715.180243055598</v>
      </c>
      <c r="H171" s="9">
        <v>45715.430243055598</v>
      </c>
      <c r="I171" s="9">
        <v>45720.326076388897</v>
      </c>
      <c r="J171" s="9">
        <v>45720.409409722197</v>
      </c>
      <c r="K171" s="7" t="s">
        <v>207</v>
      </c>
      <c r="L171" s="10">
        <f t="shared" si="8"/>
        <v>6</v>
      </c>
      <c r="M171" s="10">
        <f t="shared" si="9"/>
        <v>117.49999999918509</v>
      </c>
      <c r="N171" s="10">
        <f t="shared" si="10"/>
        <v>125.49999999837019</v>
      </c>
      <c r="O171" s="7" t="str">
        <f>IF(ISBLANK(I171),"N/A",IF(((I171-H171)*24)&gt;INDEX(Dim_ServiceType!$E$2:$E$16,MATCH(E171,Dim_ServiceType!$A$2:$A$16,0)),"Yes","No"))</f>
        <v>Yes</v>
      </c>
      <c r="P171" s="7" t="str">
        <f t="shared" si="11"/>
        <v>Closed</v>
      </c>
      <c r="Q171" s="6">
        <v>4</v>
      </c>
      <c r="R171" s="7" t="s">
        <v>196</v>
      </c>
    </row>
    <row r="172" spans="1:18" x14ac:dyDescent="0.35">
      <c r="A172" s="6">
        <v>171</v>
      </c>
      <c r="B172" s="7" t="s">
        <v>368</v>
      </c>
      <c r="C172" s="6">
        <v>1</v>
      </c>
      <c r="D172" s="6">
        <v>5</v>
      </c>
      <c r="E172" s="6">
        <v>6</v>
      </c>
      <c r="F172" s="6">
        <v>2</v>
      </c>
      <c r="G172" s="9">
        <v>45865.635891203703</v>
      </c>
      <c r="H172" s="9">
        <v>45865.677557870396</v>
      </c>
      <c r="I172" s="9">
        <v>45866.323391203703</v>
      </c>
      <c r="J172" s="9">
        <v>45867.323391203703</v>
      </c>
      <c r="K172" s="7" t="s">
        <v>198</v>
      </c>
      <c r="L172" s="10">
        <f t="shared" si="8"/>
        <v>1.0000000006402843</v>
      </c>
      <c r="M172" s="10">
        <f t="shared" si="9"/>
        <v>15.499999999359716</v>
      </c>
      <c r="N172" s="10">
        <f t="shared" si="10"/>
        <v>40.5</v>
      </c>
      <c r="O172" s="7" t="str">
        <f>IF(ISBLANK(I172),"N/A",IF(((I172-H172)*24)&gt;INDEX(Dim_ServiceType!$E$2:$E$16,MATCH(E172,Dim_ServiceType!$A$2:$A$16,0)),"Yes","No"))</f>
        <v>No</v>
      </c>
      <c r="P172" s="7" t="str">
        <f t="shared" si="11"/>
        <v>Closed</v>
      </c>
      <c r="Q172" s="6">
        <v>3</v>
      </c>
      <c r="R172" s="7" t="s">
        <v>196</v>
      </c>
    </row>
    <row r="173" spans="1:18" x14ac:dyDescent="0.35">
      <c r="A173" s="6">
        <v>172</v>
      </c>
      <c r="B173" s="7" t="s">
        <v>369</v>
      </c>
      <c r="C173" s="6">
        <v>15</v>
      </c>
      <c r="D173" s="6">
        <v>13</v>
      </c>
      <c r="E173" s="6">
        <v>9</v>
      </c>
      <c r="F173" s="6">
        <v>8</v>
      </c>
      <c r="G173" s="9">
        <v>45899.501296296301</v>
      </c>
      <c r="H173" s="9">
        <v>45900.501296296301</v>
      </c>
      <c r="I173" s="9">
        <v>45904.134629629603</v>
      </c>
      <c r="J173" s="9">
        <v>45904.155462962997</v>
      </c>
      <c r="K173" s="7" t="s">
        <v>200</v>
      </c>
      <c r="L173" s="10">
        <f t="shared" si="8"/>
        <v>24</v>
      </c>
      <c r="M173" s="10">
        <f t="shared" si="9"/>
        <v>87.199999999254942</v>
      </c>
      <c r="N173" s="10">
        <f t="shared" si="10"/>
        <v>111.70000000071013</v>
      </c>
      <c r="O173" s="7" t="str">
        <f>IF(ISBLANK(I173),"N/A",IF(((I173-H173)*24)&gt;INDEX(Dim_ServiceType!$E$2:$E$16,MATCH(E173,Dim_ServiceType!$A$2:$A$16,0)),"Yes","No"))</f>
        <v>Yes</v>
      </c>
      <c r="P173" s="7" t="str">
        <f t="shared" si="11"/>
        <v>Closed</v>
      </c>
      <c r="Q173" s="6">
        <v>3</v>
      </c>
      <c r="R173" s="7" t="s">
        <v>196</v>
      </c>
    </row>
    <row r="174" spans="1:18" x14ac:dyDescent="0.35">
      <c r="A174" s="6">
        <v>173</v>
      </c>
      <c r="B174" s="7" t="s">
        <v>370</v>
      </c>
      <c r="C174" s="6">
        <v>10</v>
      </c>
      <c r="D174" s="6">
        <v>9</v>
      </c>
      <c r="E174" s="6">
        <v>10</v>
      </c>
      <c r="F174" s="6">
        <v>5</v>
      </c>
      <c r="G174" s="9">
        <v>45880.681053240703</v>
      </c>
      <c r="H174" s="9">
        <v>45880.701886574097</v>
      </c>
      <c r="I174" s="9">
        <v>45880.822719907403</v>
      </c>
      <c r="J174" s="9">
        <v>45880.906053240702</v>
      </c>
      <c r="K174" s="7" t="s">
        <v>198</v>
      </c>
      <c r="L174" s="10">
        <f t="shared" si="8"/>
        <v>0.50000000145519152</v>
      </c>
      <c r="M174" s="10">
        <f t="shared" si="9"/>
        <v>2.8999999993247911</v>
      </c>
      <c r="N174" s="10">
        <f t="shared" si="10"/>
        <v>5.3999999999650754</v>
      </c>
      <c r="O174" s="7" t="str">
        <f>IF(ISBLANK(I174),"N/A",IF(((I174-H174)*24)&gt;INDEX(Dim_ServiceType!$E$2:$E$16,MATCH(E174,Dim_ServiceType!$A$2:$A$16,0)),"Yes","No"))</f>
        <v>No</v>
      </c>
      <c r="P174" s="7" t="str">
        <f t="shared" si="11"/>
        <v>Closed</v>
      </c>
      <c r="Q174" s="6">
        <v>4</v>
      </c>
      <c r="R174" s="7" t="s">
        <v>196</v>
      </c>
    </row>
    <row r="175" spans="1:18" x14ac:dyDescent="0.35">
      <c r="A175" s="6">
        <v>174</v>
      </c>
      <c r="B175" s="7" t="s">
        <v>371</v>
      </c>
      <c r="C175" s="6">
        <v>8</v>
      </c>
      <c r="D175" s="6">
        <v>3</v>
      </c>
      <c r="E175" s="6">
        <v>13</v>
      </c>
      <c r="F175" s="6">
        <v>10</v>
      </c>
      <c r="G175" s="9">
        <v>45691.130949074097</v>
      </c>
      <c r="H175" s="9">
        <v>45691.255949074097</v>
      </c>
      <c r="I175" s="9">
        <v>45692.239282407398</v>
      </c>
      <c r="J175" s="9">
        <v>45692.260115740697</v>
      </c>
      <c r="K175" s="7" t="s">
        <v>192</v>
      </c>
      <c r="L175" s="10">
        <f t="shared" si="8"/>
        <v>3</v>
      </c>
      <c r="M175" s="10">
        <f t="shared" si="9"/>
        <v>23.599999999220017</v>
      </c>
      <c r="N175" s="10">
        <f t="shared" si="10"/>
        <v>27.09999999840511</v>
      </c>
      <c r="O175" s="7" t="str">
        <f>IF(ISBLANK(I175),"N/A",IF(((I175-H175)*24)&gt;INDEX(Dim_ServiceType!$E$2:$E$16,MATCH(E175,Dim_ServiceType!$A$2:$A$16,0)),"Yes","No"))</f>
        <v>No</v>
      </c>
      <c r="P175" s="7" t="str">
        <f t="shared" si="11"/>
        <v>Closed</v>
      </c>
      <c r="Q175" s="6">
        <v>5</v>
      </c>
      <c r="R175" s="7" t="s">
        <v>193</v>
      </c>
    </row>
    <row r="176" spans="1:18" x14ac:dyDescent="0.35">
      <c r="A176" s="6">
        <v>175</v>
      </c>
      <c r="B176" s="7" t="s">
        <v>372</v>
      </c>
      <c r="C176" s="6">
        <v>6</v>
      </c>
      <c r="D176" s="6">
        <v>10</v>
      </c>
      <c r="E176" s="6">
        <v>7</v>
      </c>
      <c r="F176" s="6">
        <v>4</v>
      </c>
      <c r="G176" s="9">
        <v>45762.055775462999</v>
      </c>
      <c r="H176" s="9">
        <v>45762.555775462999</v>
      </c>
      <c r="I176" s="9">
        <v>45763.522442129601</v>
      </c>
      <c r="J176" s="9">
        <v>45763.543275463002</v>
      </c>
      <c r="K176" s="7" t="s">
        <v>192</v>
      </c>
      <c r="L176" s="10">
        <f t="shared" si="8"/>
        <v>12</v>
      </c>
      <c r="M176" s="10">
        <f t="shared" si="9"/>
        <v>23.199999998440035</v>
      </c>
      <c r="N176" s="10">
        <f t="shared" si="10"/>
        <v>35.700000000069849</v>
      </c>
      <c r="O176" s="7" t="str">
        <f>IF(ISBLANK(I176),"N/A",IF(((I176-H176)*24)&gt;INDEX(Dim_ServiceType!$E$2:$E$16,MATCH(E176,Dim_ServiceType!$A$2:$A$16,0)),"Yes","No"))</f>
        <v>No</v>
      </c>
      <c r="P176" s="7" t="str">
        <f t="shared" si="11"/>
        <v>Closed</v>
      </c>
      <c r="Q176" s="6">
        <v>5</v>
      </c>
      <c r="R176" s="7" t="s">
        <v>196</v>
      </c>
    </row>
    <row r="177" spans="1:18" x14ac:dyDescent="0.35">
      <c r="A177" s="6">
        <v>176</v>
      </c>
      <c r="B177" s="7" t="s">
        <v>373</v>
      </c>
      <c r="C177" s="6">
        <v>6</v>
      </c>
      <c r="D177" s="6">
        <v>10</v>
      </c>
      <c r="E177" s="6">
        <v>8</v>
      </c>
      <c r="F177" s="6">
        <v>8</v>
      </c>
      <c r="G177" s="9">
        <v>45774.751319444498</v>
      </c>
      <c r="H177" s="9">
        <v>45775.084652777798</v>
      </c>
      <c r="I177" s="9">
        <v>45775.176319444399</v>
      </c>
      <c r="J177" s="9">
        <v>45775.676319444399</v>
      </c>
      <c r="K177" s="7" t="s">
        <v>195</v>
      </c>
      <c r="L177" s="10">
        <f t="shared" si="8"/>
        <v>7.9999999991850927</v>
      </c>
      <c r="M177" s="10">
        <f t="shared" si="9"/>
        <v>2.1999999984400347</v>
      </c>
      <c r="N177" s="10">
        <f t="shared" si="10"/>
        <v>22.199999997625127</v>
      </c>
      <c r="O177" s="7" t="str">
        <f>IF(ISBLANK(I177),"N/A",IF(((I177-H177)*24)&gt;INDEX(Dim_ServiceType!$E$2:$E$16,MATCH(E177,Dim_ServiceType!$A$2:$A$16,0)),"Yes","No"))</f>
        <v>No</v>
      </c>
      <c r="P177" s="7" t="str">
        <f t="shared" si="11"/>
        <v>Closed</v>
      </c>
      <c r="Q177" s="6">
        <v>5</v>
      </c>
      <c r="R177" s="7" t="s">
        <v>193</v>
      </c>
    </row>
    <row r="178" spans="1:18" x14ac:dyDescent="0.35">
      <c r="A178" s="6">
        <v>177</v>
      </c>
      <c r="B178" s="7" t="s">
        <v>374</v>
      </c>
      <c r="C178" s="6">
        <v>13</v>
      </c>
      <c r="D178" s="6">
        <v>6</v>
      </c>
      <c r="E178" s="6">
        <v>6</v>
      </c>
      <c r="F178" s="6">
        <v>1</v>
      </c>
      <c r="G178" s="9">
        <v>45761.5137384259</v>
      </c>
      <c r="H178" s="9">
        <v>45761.7637384259</v>
      </c>
      <c r="I178" s="9">
        <v>45763.6179050926</v>
      </c>
      <c r="J178" s="9">
        <v>45763.659571759301</v>
      </c>
      <c r="K178" s="7" t="s">
        <v>207</v>
      </c>
      <c r="L178" s="10">
        <f t="shared" si="8"/>
        <v>6</v>
      </c>
      <c r="M178" s="10">
        <f t="shared" si="9"/>
        <v>44.500000000814907</v>
      </c>
      <c r="N178" s="10">
        <f t="shared" si="10"/>
        <v>51.500000001629815</v>
      </c>
      <c r="O178" s="7" t="str">
        <f>IF(ISBLANK(I178),"N/A",IF(((I178-H178)*24)&gt;INDEX(Dim_ServiceType!$E$2:$E$16,MATCH(E178,Dim_ServiceType!$A$2:$A$16,0)),"Yes","No"))</f>
        <v>No</v>
      </c>
      <c r="P178" s="7" t="str">
        <f t="shared" si="11"/>
        <v>Closed</v>
      </c>
      <c r="Q178" s="6">
        <v>2</v>
      </c>
      <c r="R178" s="7" t="s">
        <v>196</v>
      </c>
    </row>
    <row r="179" spans="1:18" x14ac:dyDescent="0.35">
      <c r="A179" s="6">
        <v>178</v>
      </c>
      <c r="B179" s="7" t="s">
        <v>375</v>
      </c>
      <c r="C179" s="6">
        <v>2</v>
      </c>
      <c r="D179" s="6">
        <v>9</v>
      </c>
      <c r="E179" s="6">
        <v>11</v>
      </c>
      <c r="F179" s="6">
        <v>2</v>
      </c>
      <c r="G179" s="9">
        <v>45833.976666666698</v>
      </c>
      <c r="H179" s="9">
        <v>45834.101666666698</v>
      </c>
      <c r="I179" s="9">
        <v>45834.297500000001</v>
      </c>
      <c r="J179" s="9">
        <v>45834.3808333333</v>
      </c>
      <c r="K179" s="7" t="s">
        <v>195</v>
      </c>
      <c r="L179" s="10">
        <f t="shared" si="8"/>
        <v>3</v>
      </c>
      <c r="M179" s="10">
        <f t="shared" si="9"/>
        <v>4.6999999992549419</v>
      </c>
      <c r="N179" s="10">
        <f t="shared" si="10"/>
        <v>9.6999999984400347</v>
      </c>
      <c r="O179" s="7" t="str">
        <f>IF(ISBLANK(I179),"N/A",IF(((I179-H179)*24)&gt;INDEX(Dim_ServiceType!$E$2:$E$16,MATCH(E179,Dim_ServiceType!$A$2:$A$16,0)),"Yes","No"))</f>
        <v>No</v>
      </c>
      <c r="P179" s="7" t="str">
        <f t="shared" si="11"/>
        <v>Closed</v>
      </c>
      <c r="Q179" s="6">
        <v>5</v>
      </c>
      <c r="R179" s="7" t="s">
        <v>196</v>
      </c>
    </row>
    <row r="180" spans="1:18" x14ac:dyDescent="0.35">
      <c r="A180" s="6">
        <v>179</v>
      </c>
      <c r="B180" s="7" t="s">
        <v>376</v>
      </c>
      <c r="C180" s="6">
        <v>9</v>
      </c>
      <c r="D180" s="6">
        <v>12</v>
      </c>
      <c r="E180" s="6">
        <v>3</v>
      </c>
      <c r="F180" s="6">
        <v>4</v>
      </c>
      <c r="G180" s="9">
        <v>45936.532025462999</v>
      </c>
      <c r="H180" s="9">
        <v>45937.282025462999</v>
      </c>
      <c r="I180" s="9">
        <v>45937.5778587963</v>
      </c>
      <c r="J180" s="9">
        <v>45937.619525463</v>
      </c>
      <c r="K180" s="7" t="s">
        <v>207</v>
      </c>
      <c r="L180" s="10">
        <f t="shared" si="8"/>
        <v>18</v>
      </c>
      <c r="M180" s="10">
        <f t="shared" si="9"/>
        <v>7.0999999992200173</v>
      </c>
      <c r="N180" s="10">
        <f t="shared" si="10"/>
        <v>26.100000000034925</v>
      </c>
      <c r="O180" s="7" t="str">
        <f>IF(ISBLANK(I180),"N/A",IF(((I180-H180)*24)&gt;INDEX(Dim_ServiceType!$E$2:$E$16,MATCH(E180,Dim_ServiceType!$A$2:$A$16,0)),"Yes","No"))</f>
        <v>No</v>
      </c>
      <c r="P180" s="7" t="str">
        <f t="shared" si="11"/>
        <v>Closed</v>
      </c>
      <c r="Q180" s="6">
        <v>5</v>
      </c>
      <c r="R180" s="7" t="s">
        <v>196</v>
      </c>
    </row>
    <row r="181" spans="1:18" x14ac:dyDescent="0.35">
      <c r="A181" s="6">
        <v>180</v>
      </c>
      <c r="B181" s="7" t="s">
        <v>377</v>
      </c>
      <c r="C181" s="6">
        <v>6</v>
      </c>
      <c r="D181" s="6">
        <v>4</v>
      </c>
      <c r="E181" s="6">
        <v>3</v>
      </c>
      <c r="F181" s="6">
        <v>3</v>
      </c>
      <c r="G181" s="9">
        <v>45813.412071759303</v>
      </c>
      <c r="H181" s="9">
        <v>45813.453738425902</v>
      </c>
      <c r="I181" s="9">
        <v>45813.649571759299</v>
      </c>
      <c r="J181" s="9">
        <v>45813.732905092598</v>
      </c>
      <c r="K181" s="7" t="s">
        <v>198</v>
      </c>
      <c r="L181" s="10">
        <f t="shared" si="8"/>
        <v>0.99999999837018549</v>
      </c>
      <c r="M181" s="10">
        <f t="shared" si="9"/>
        <v>4.7000000015250407</v>
      </c>
      <c r="N181" s="10">
        <f t="shared" si="10"/>
        <v>7.699999999080319</v>
      </c>
      <c r="O181" s="7" t="str">
        <f>IF(ISBLANK(I181),"N/A",IF(((I181-H181)*24)&gt;INDEX(Dim_ServiceType!$E$2:$E$16,MATCH(E181,Dim_ServiceType!$A$2:$A$16,0)),"Yes","No"))</f>
        <v>No</v>
      </c>
      <c r="P181" s="7" t="str">
        <f t="shared" si="11"/>
        <v>Closed</v>
      </c>
      <c r="Q181" s="6">
        <v>3</v>
      </c>
      <c r="R181" s="7" t="s">
        <v>196</v>
      </c>
    </row>
    <row r="182" spans="1:18" x14ac:dyDescent="0.35">
      <c r="A182" s="6">
        <v>181</v>
      </c>
      <c r="B182" s="7" t="s">
        <v>378</v>
      </c>
      <c r="C182" s="6">
        <v>9</v>
      </c>
      <c r="D182" s="6">
        <v>11</v>
      </c>
      <c r="E182" s="6">
        <v>15</v>
      </c>
      <c r="F182" s="6">
        <v>4</v>
      </c>
      <c r="G182" s="9">
        <v>45923.317118055602</v>
      </c>
      <c r="H182" s="9">
        <v>45923.337951388901</v>
      </c>
      <c r="I182" s="9"/>
      <c r="J182" s="9"/>
      <c r="K182" s="7" t="s">
        <v>200</v>
      </c>
      <c r="L182" s="10">
        <f t="shared" si="8"/>
        <v>0.49999999918509275</v>
      </c>
      <c r="M182" s="10" t="str">
        <f t="shared" si="9"/>
        <v/>
      </c>
      <c r="N182" s="10" t="str">
        <f t="shared" si="10"/>
        <v/>
      </c>
      <c r="O182" s="7" t="str">
        <f>IF(ISBLANK(I182),"N/A",IF(((I182-H182)*24)&gt;INDEX(Dim_ServiceType!$E$2:$E$16,MATCH(E182,Dim_ServiceType!$A$2:$A$16,0)),"Yes","No"))</f>
        <v>N/A</v>
      </c>
      <c r="P182" s="7" t="str">
        <f t="shared" si="11"/>
        <v>In Progress</v>
      </c>
      <c r="Q182" s="6"/>
      <c r="R182" s="7"/>
    </row>
    <row r="183" spans="1:18" x14ac:dyDescent="0.35">
      <c r="A183" s="6">
        <v>182</v>
      </c>
      <c r="B183" s="7" t="s">
        <v>379</v>
      </c>
      <c r="C183" s="6">
        <v>6</v>
      </c>
      <c r="D183" s="6">
        <v>2</v>
      </c>
      <c r="E183" s="6">
        <v>5</v>
      </c>
      <c r="F183" s="6">
        <v>13</v>
      </c>
      <c r="G183" s="9">
        <v>45705.548900463</v>
      </c>
      <c r="H183" s="9">
        <v>45706.298900463</v>
      </c>
      <c r="I183" s="9">
        <v>45706.486400463</v>
      </c>
      <c r="J183" s="9">
        <v>45706.653067129599</v>
      </c>
      <c r="K183" s="7" t="s">
        <v>198</v>
      </c>
      <c r="L183" s="10">
        <f t="shared" si="8"/>
        <v>18</v>
      </c>
      <c r="M183" s="10">
        <f t="shared" si="9"/>
        <v>4.5</v>
      </c>
      <c r="N183" s="10">
        <f t="shared" si="10"/>
        <v>26.499999998370185</v>
      </c>
      <c r="O183" s="7" t="str">
        <f>IF(ISBLANK(I183),"N/A",IF(((I183-H183)*24)&gt;INDEX(Dim_ServiceType!$E$2:$E$16,MATCH(E183,Dim_ServiceType!$A$2:$A$16,0)),"Yes","No"))</f>
        <v>No</v>
      </c>
      <c r="P183" s="7" t="str">
        <f t="shared" si="11"/>
        <v>Closed</v>
      </c>
      <c r="Q183" s="6">
        <v>4</v>
      </c>
      <c r="R183" s="7" t="s">
        <v>196</v>
      </c>
    </row>
    <row r="184" spans="1:18" x14ac:dyDescent="0.35">
      <c r="A184" s="6">
        <v>183</v>
      </c>
      <c r="B184" s="7" t="s">
        <v>380</v>
      </c>
      <c r="C184" s="6">
        <v>9</v>
      </c>
      <c r="D184" s="6">
        <v>5</v>
      </c>
      <c r="E184" s="6">
        <v>11</v>
      </c>
      <c r="F184" s="6">
        <v>4</v>
      </c>
      <c r="G184" s="9">
        <v>45726.854270833297</v>
      </c>
      <c r="H184" s="9">
        <v>45727.104270833297</v>
      </c>
      <c r="I184" s="9">
        <v>45727.308437500003</v>
      </c>
      <c r="J184" s="9">
        <v>45727.391770833303</v>
      </c>
      <c r="K184" s="7" t="s">
        <v>207</v>
      </c>
      <c r="L184" s="10">
        <f t="shared" si="8"/>
        <v>6</v>
      </c>
      <c r="M184" s="10">
        <f t="shared" si="9"/>
        <v>4.9000000009546056</v>
      </c>
      <c r="N184" s="10">
        <f t="shared" si="10"/>
        <v>12.900000000139698</v>
      </c>
      <c r="O184" s="7" t="str">
        <f>IF(ISBLANK(I184),"N/A",IF(((I184-H184)*24)&gt;INDEX(Dim_ServiceType!$E$2:$E$16,MATCH(E184,Dim_ServiceType!$A$2:$A$16,0)),"Yes","No"))</f>
        <v>No</v>
      </c>
      <c r="P184" s="7" t="str">
        <f t="shared" si="11"/>
        <v>Closed</v>
      </c>
      <c r="Q184" s="6">
        <v>5</v>
      </c>
      <c r="R184" s="7" t="s">
        <v>193</v>
      </c>
    </row>
    <row r="185" spans="1:18" x14ac:dyDescent="0.35">
      <c r="A185" s="6">
        <v>184</v>
      </c>
      <c r="B185" s="7" t="s">
        <v>381</v>
      </c>
      <c r="C185" s="6">
        <v>11</v>
      </c>
      <c r="D185" s="6">
        <v>2</v>
      </c>
      <c r="E185" s="6">
        <v>8</v>
      </c>
      <c r="F185" s="6">
        <v>2</v>
      </c>
      <c r="G185" s="9">
        <v>45902.653842592597</v>
      </c>
      <c r="H185" s="9">
        <v>45903.403842592597</v>
      </c>
      <c r="I185" s="9"/>
      <c r="J185" s="9"/>
      <c r="K185" s="7" t="s">
        <v>195</v>
      </c>
      <c r="L185" s="10">
        <f t="shared" si="8"/>
        <v>18</v>
      </c>
      <c r="M185" s="10" t="str">
        <f t="shared" si="9"/>
        <v/>
      </c>
      <c r="N185" s="10" t="str">
        <f t="shared" si="10"/>
        <v/>
      </c>
      <c r="O185" s="7" t="str">
        <f>IF(ISBLANK(I185),"N/A",IF(((I185-H185)*24)&gt;INDEX(Dim_ServiceType!$E$2:$E$16,MATCH(E185,Dim_ServiceType!$A$2:$A$16,0)),"Yes","No"))</f>
        <v>N/A</v>
      </c>
      <c r="P185" s="7" t="str">
        <f t="shared" si="11"/>
        <v>In Progress</v>
      </c>
      <c r="Q185" s="6"/>
      <c r="R185" s="7"/>
    </row>
    <row r="186" spans="1:18" x14ac:dyDescent="0.35">
      <c r="A186" s="6">
        <v>185</v>
      </c>
      <c r="B186" s="7" t="s">
        <v>382</v>
      </c>
      <c r="C186" s="6">
        <v>9</v>
      </c>
      <c r="D186" s="6">
        <v>11</v>
      </c>
      <c r="E186" s="6">
        <v>3</v>
      </c>
      <c r="F186" s="6">
        <v>14</v>
      </c>
      <c r="G186" s="9">
        <v>45765.329942129603</v>
      </c>
      <c r="H186" s="9">
        <v>45766.329942129603</v>
      </c>
      <c r="I186" s="9">
        <v>45766.625775462999</v>
      </c>
      <c r="J186" s="9">
        <v>45767.125775462999</v>
      </c>
      <c r="K186" s="7" t="s">
        <v>195</v>
      </c>
      <c r="L186" s="10">
        <f t="shared" si="8"/>
        <v>24</v>
      </c>
      <c r="M186" s="10">
        <f t="shared" si="9"/>
        <v>7.1000000014901161</v>
      </c>
      <c r="N186" s="10">
        <f t="shared" si="10"/>
        <v>43.100000001490116</v>
      </c>
      <c r="O186" s="7" t="str">
        <f>IF(ISBLANK(I186),"N/A",IF(((I186-H186)*24)&gt;INDEX(Dim_ServiceType!$E$2:$E$16,MATCH(E186,Dim_ServiceType!$A$2:$A$16,0)),"Yes","No"))</f>
        <v>No</v>
      </c>
      <c r="P186" s="7" t="str">
        <f t="shared" si="11"/>
        <v>Closed</v>
      </c>
      <c r="Q186" s="6">
        <v>4</v>
      </c>
      <c r="R186" s="7" t="s">
        <v>193</v>
      </c>
    </row>
    <row r="187" spans="1:18" x14ac:dyDescent="0.35">
      <c r="A187" s="6">
        <v>186</v>
      </c>
      <c r="B187" s="7" t="s">
        <v>383</v>
      </c>
      <c r="C187" s="6">
        <v>15</v>
      </c>
      <c r="D187" s="6">
        <v>2</v>
      </c>
      <c r="E187" s="6">
        <v>7</v>
      </c>
      <c r="F187" s="6">
        <v>7</v>
      </c>
      <c r="G187" s="9">
        <v>45882.546006944503</v>
      </c>
      <c r="H187" s="9">
        <v>45883.546006944503</v>
      </c>
      <c r="I187" s="9">
        <v>45883.971006944397</v>
      </c>
      <c r="J187" s="9">
        <v>45884.221006944397</v>
      </c>
      <c r="K187" s="7" t="s">
        <v>207</v>
      </c>
      <c r="L187" s="10">
        <f t="shared" si="8"/>
        <v>24</v>
      </c>
      <c r="M187" s="10">
        <f t="shared" si="9"/>
        <v>10.199999997450504</v>
      </c>
      <c r="N187" s="10">
        <f t="shared" si="10"/>
        <v>40.199999997450504</v>
      </c>
      <c r="O187" s="7" t="str">
        <f>IF(ISBLANK(I187),"N/A",IF(((I187-H187)*24)&gt;INDEX(Dim_ServiceType!$E$2:$E$16,MATCH(E187,Dim_ServiceType!$A$2:$A$16,0)),"Yes","No"))</f>
        <v>No</v>
      </c>
      <c r="P187" s="7" t="str">
        <f t="shared" si="11"/>
        <v>Closed</v>
      </c>
      <c r="Q187" s="6">
        <v>4</v>
      </c>
      <c r="R187" s="7" t="s">
        <v>196</v>
      </c>
    </row>
    <row r="188" spans="1:18" x14ac:dyDescent="0.35">
      <c r="A188" s="6">
        <v>187</v>
      </c>
      <c r="B188" s="7" t="s">
        <v>384</v>
      </c>
      <c r="C188" s="6">
        <v>12</v>
      </c>
      <c r="D188" s="6">
        <v>9</v>
      </c>
      <c r="E188" s="6">
        <v>5</v>
      </c>
      <c r="F188" s="6">
        <v>6</v>
      </c>
      <c r="G188" s="9">
        <v>45939.748622685198</v>
      </c>
      <c r="H188" s="9">
        <v>45940.248622685198</v>
      </c>
      <c r="I188" s="9">
        <v>45940.731956018499</v>
      </c>
      <c r="J188" s="9">
        <v>45940.773622685199</v>
      </c>
      <c r="K188" s="7" t="s">
        <v>207</v>
      </c>
      <c r="L188" s="10">
        <f t="shared" si="8"/>
        <v>12</v>
      </c>
      <c r="M188" s="10">
        <f t="shared" si="9"/>
        <v>11.599999999220017</v>
      </c>
      <c r="N188" s="10">
        <f t="shared" si="10"/>
        <v>24.600000000034925</v>
      </c>
      <c r="O188" s="7" t="str">
        <f>IF(ISBLANK(I188),"N/A",IF(((I188-H188)*24)&gt;INDEX(Dim_ServiceType!$E$2:$E$16,MATCH(E188,Dim_ServiceType!$A$2:$A$16,0)),"Yes","No"))</f>
        <v>No</v>
      </c>
      <c r="P188" s="7" t="str">
        <f t="shared" si="11"/>
        <v>Closed</v>
      </c>
      <c r="Q188" s="6">
        <v>2</v>
      </c>
      <c r="R188" s="7" t="s">
        <v>196</v>
      </c>
    </row>
    <row r="189" spans="1:18" x14ac:dyDescent="0.35">
      <c r="A189" s="6">
        <v>188</v>
      </c>
      <c r="B189" s="7" t="s">
        <v>385</v>
      </c>
      <c r="C189" s="6">
        <v>4</v>
      </c>
      <c r="D189" s="6">
        <v>12</v>
      </c>
      <c r="E189" s="6">
        <v>5</v>
      </c>
      <c r="F189" s="6">
        <v>1</v>
      </c>
      <c r="G189" s="9">
        <v>45784.125937500001</v>
      </c>
      <c r="H189" s="9">
        <v>45784.2092708333</v>
      </c>
      <c r="I189" s="9">
        <v>45784.3926041667</v>
      </c>
      <c r="J189" s="9">
        <v>45785.3926041667</v>
      </c>
      <c r="K189" s="7" t="s">
        <v>192</v>
      </c>
      <c r="L189" s="10">
        <f t="shared" si="8"/>
        <v>1.9999999991850927</v>
      </c>
      <c r="M189" s="10">
        <f t="shared" si="9"/>
        <v>4.4000000015948899</v>
      </c>
      <c r="N189" s="10">
        <f t="shared" si="10"/>
        <v>30.400000000779983</v>
      </c>
      <c r="O189" s="7" t="str">
        <f>IF(ISBLANK(I189),"N/A",IF(((I189-H189)*24)&gt;INDEX(Dim_ServiceType!$E$2:$E$16,MATCH(E189,Dim_ServiceType!$A$2:$A$16,0)),"Yes","No"))</f>
        <v>No</v>
      </c>
      <c r="P189" s="7" t="str">
        <f t="shared" si="11"/>
        <v>Closed</v>
      </c>
      <c r="Q189" s="6">
        <v>4</v>
      </c>
      <c r="R189" s="7" t="s">
        <v>196</v>
      </c>
    </row>
    <row r="190" spans="1:18" x14ac:dyDescent="0.35">
      <c r="A190" s="6">
        <v>189</v>
      </c>
      <c r="B190" s="7" t="s">
        <v>386</v>
      </c>
      <c r="C190" s="6">
        <v>3</v>
      </c>
      <c r="D190" s="6">
        <v>12</v>
      </c>
      <c r="E190" s="6">
        <v>11</v>
      </c>
      <c r="F190" s="6">
        <v>9</v>
      </c>
      <c r="G190" s="9">
        <v>45996.771736111099</v>
      </c>
      <c r="H190" s="9"/>
      <c r="I190" s="9"/>
      <c r="J190" s="9"/>
      <c r="K190" s="7" t="s">
        <v>207</v>
      </c>
      <c r="L190" s="10" t="str">
        <f t="shared" si="8"/>
        <v/>
      </c>
      <c r="M190" s="10" t="str">
        <f t="shared" si="9"/>
        <v/>
      </c>
      <c r="N190" s="10" t="str">
        <f t="shared" si="10"/>
        <v/>
      </c>
      <c r="O190" s="7" t="str">
        <f>IF(ISBLANK(I190),"N/A",IF(((I190-H190)*24)&gt;INDEX(Dim_ServiceType!$E$2:$E$16,MATCH(E190,Dim_ServiceType!$A$2:$A$16,0)),"Yes","No"))</f>
        <v>N/A</v>
      </c>
      <c r="P190" s="7" t="str">
        <f t="shared" si="11"/>
        <v>Open (Unassigned)</v>
      </c>
      <c r="Q190" s="6"/>
      <c r="R190" s="7"/>
    </row>
    <row r="191" spans="1:18" x14ac:dyDescent="0.35">
      <c r="A191" s="6">
        <v>190</v>
      </c>
      <c r="B191" s="7" t="s">
        <v>387</v>
      </c>
      <c r="C191" s="6">
        <v>5</v>
      </c>
      <c r="D191" s="6">
        <v>10</v>
      </c>
      <c r="E191" s="6">
        <v>10</v>
      </c>
      <c r="F191" s="6">
        <v>4</v>
      </c>
      <c r="G191" s="9">
        <v>45679.2742476852</v>
      </c>
      <c r="H191" s="9">
        <v>45679.3992476852</v>
      </c>
      <c r="I191" s="9">
        <v>45679.690914351901</v>
      </c>
      <c r="J191" s="9">
        <v>45680.690914351901</v>
      </c>
      <c r="K191" s="7" t="s">
        <v>192</v>
      </c>
      <c r="L191" s="10">
        <f t="shared" si="8"/>
        <v>3</v>
      </c>
      <c r="M191" s="10">
        <f t="shared" si="9"/>
        <v>7.0000000008149073</v>
      </c>
      <c r="N191" s="10">
        <f t="shared" si="10"/>
        <v>34.000000000814907</v>
      </c>
      <c r="O191" s="7" t="str">
        <f>IF(ISBLANK(I191),"N/A",IF(((I191-H191)*24)&gt;INDEX(Dim_ServiceType!$E$2:$E$16,MATCH(E191,Dim_ServiceType!$A$2:$A$16,0)),"Yes","No"))</f>
        <v>Yes</v>
      </c>
      <c r="P191" s="7" t="str">
        <f t="shared" si="11"/>
        <v>Closed</v>
      </c>
      <c r="Q191" s="6">
        <v>5</v>
      </c>
      <c r="R191" s="7" t="s">
        <v>196</v>
      </c>
    </row>
    <row r="192" spans="1:18" x14ac:dyDescent="0.35">
      <c r="A192" s="6">
        <v>191</v>
      </c>
      <c r="B192" s="7" t="s">
        <v>388</v>
      </c>
      <c r="C192" s="6">
        <v>2</v>
      </c>
      <c r="D192" s="6">
        <v>11</v>
      </c>
      <c r="E192" s="6">
        <v>4</v>
      </c>
      <c r="F192" s="6">
        <v>1</v>
      </c>
      <c r="G192" s="9">
        <v>45687.784444444398</v>
      </c>
      <c r="H192" s="9">
        <v>45687.951111111099</v>
      </c>
      <c r="I192" s="9">
        <v>45689.2261111111</v>
      </c>
      <c r="J192" s="9">
        <v>45689.7261111111</v>
      </c>
      <c r="K192" s="7" t="s">
        <v>195</v>
      </c>
      <c r="L192" s="10">
        <f t="shared" si="8"/>
        <v>4.0000000008149073</v>
      </c>
      <c r="M192" s="10">
        <f t="shared" si="9"/>
        <v>30.600000000034925</v>
      </c>
      <c r="N192" s="10">
        <f t="shared" si="10"/>
        <v>46.600000000849832</v>
      </c>
      <c r="O192" s="7" t="str">
        <f>IF(ISBLANK(I192),"N/A",IF(((I192-H192)*24)&gt;INDEX(Dim_ServiceType!$E$2:$E$16,MATCH(E192,Dim_ServiceType!$A$2:$A$16,0)),"Yes","No"))</f>
        <v>Yes</v>
      </c>
      <c r="P192" s="7" t="str">
        <f t="shared" si="11"/>
        <v>Closed</v>
      </c>
      <c r="Q192" s="6">
        <v>4</v>
      </c>
      <c r="R192" s="7" t="s">
        <v>196</v>
      </c>
    </row>
    <row r="193" spans="1:18" x14ac:dyDescent="0.35">
      <c r="A193" s="6">
        <v>192</v>
      </c>
      <c r="B193" s="7" t="s">
        <v>389</v>
      </c>
      <c r="C193" s="6">
        <v>7</v>
      </c>
      <c r="D193" s="6">
        <v>8</v>
      </c>
      <c r="E193" s="6">
        <v>1</v>
      </c>
      <c r="F193" s="6">
        <v>6</v>
      </c>
      <c r="G193" s="9">
        <v>45681.477627314802</v>
      </c>
      <c r="H193" s="9">
        <v>45681.498460648101</v>
      </c>
      <c r="I193" s="9">
        <v>45681.610960648199</v>
      </c>
      <c r="J193" s="9">
        <v>45681.694293981498</v>
      </c>
      <c r="K193" s="7" t="s">
        <v>192</v>
      </c>
      <c r="L193" s="10">
        <f t="shared" si="8"/>
        <v>0.49999999918509275</v>
      </c>
      <c r="M193" s="10">
        <f t="shared" si="9"/>
        <v>2.700000002339948</v>
      </c>
      <c r="N193" s="10">
        <f t="shared" si="10"/>
        <v>5.2000000007101335</v>
      </c>
      <c r="O193" s="7" t="str">
        <f>IF(ISBLANK(I193),"N/A",IF(((I193-H193)*24)&gt;INDEX(Dim_ServiceType!$E$2:$E$16,MATCH(E193,Dim_ServiceType!$A$2:$A$16,0)),"Yes","No"))</f>
        <v>No</v>
      </c>
      <c r="P193" s="7" t="str">
        <f t="shared" si="11"/>
        <v>Closed</v>
      </c>
      <c r="Q193" s="6">
        <v>4</v>
      </c>
      <c r="R193" s="7" t="s">
        <v>196</v>
      </c>
    </row>
    <row r="194" spans="1:18" x14ac:dyDescent="0.35">
      <c r="A194" s="6">
        <v>193</v>
      </c>
      <c r="B194" s="7" t="s">
        <v>390</v>
      </c>
      <c r="C194" s="6">
        <v>5</v>
      </c>
      <c r="D194" s="6">
        <v>7</v>
      </c>
      <c r="E194" s="6">
        <v>3</v>
      </c>
      <c r="F194" s="6">
        <v>7</v>
      </c>
      <c r="G194" s="9">
        <v>45947.365011574097</v>
      </c>
      <c r="H194" s="9">
        <v>45947.615011574097</v>
      </c>
      <c r="I194" s="9">
        <v>45947.944178240701</v>
      </c>
      <c r="J194" s="9">
        <v>45948.027511574102</v>
      </c>
      <c r="K194" s="7" t="s">
        <v>192</v>
      </c>
      <c r="L194" s="10">
        <f t="shared" ref="L194:L257" si="12">IF(ISBLANK(H194),"",(H194-G194)*24)</f>
        <v>6</v>
      </c>
      <c r="M194" s="10">
        <f t="shared" ref="M194:M257" si="13">IF(ISBLANK(I194),"",(I194-H194)*24)</f>
        <v>7.8999999985098839</v>
      </c>
      <c r="N194" s="10">
        <f t="shared" ref="N194:N257" si="14">IF(ISBLANK(J194),"",(J194-G194)*24)</f>
        <v>15.900000000139698</v>
      </c>
      <c r="O194" s="7" t="str">
        <f>IF(ISBLANK(I194),"N/A",IF(((I194-H194)*24)&gt;INDEX(Dim_ServiceType!$E$2:$E$16,MATCH(E194,Dim_ServiceType!$A$2:$A$16,0)),"Yes","No"))</f>
        <v>No</v>
      </c>
      <c r="P194" s="7" t="str">
        <f t="shared" ref="P194:P257" si="15">IF(ISBLANK(H194),"Open (Unassigned)",IF(ISBLANK(I194),"In Progress",IF(ISBLANK(J194),"Resolved (Pending Closure)","Closed")))</f>
        <v>Closed</v>
      </c>
      <c r="Q194" s="6">
        <v>3</v>
      </c>
      <c r="R194" s="7" t="s">
        <v>196</v>
      </c>
    </row>
    <row r="195" spans="1:18" x14ac:dyDescent="0.35">
      <c r="A195" s="6">
        <v>194</v>
      </c>
      <c r="B195" s="7" t="s">
        <v>391</v>
      </c>
      <c r="C195" s="6">
        <v>8</v>
      </c>
      <c r="D195" s="6">
        <v>14</v>
      </c>
      <c r="E195" s="6">
        <v>7</v>
      </c>
      <c r="F195" s="6">
        <v>9</v>
      </c>
      <c r="G195" s="9">
        <v>45979.090717592597</v>
      </c>
      <c r="H195" s="9">
        <v>45979.424050925903</v>
      </c>
      <c r="I195" s="9">
        <v>45980.136550925898</v>
      </c>
      <c r="J195" s="9">
        <v>45980.386550925898</v>
      </c>
      <c r="K195" s="7" t="s">
        <v>195</v>
      </c>
      <c r="L195" s="10">
        <f t="shared" si="12"/>
        <v>7.9999999993597157</v>
      </c>
      <c r="M195" s="10">
        <f t="shared" si="13"/>
        <v>17.099999999860302</v>
      </c>
      <c r="N195" s="10">
        <f t="shared" si="14"/>
        <v>31.099999999220017</v>
      </c>
      <c r="O195" s="7" t="str">
        <f>IF(ISBLANK(I195),"N/A",IF(((I195-H195)*24)&gt;INDEX(Dim_ServiceType!$E$2:$E$16,MATCH(E195,Dim_ServiceType!$A$2:$A$16,0)),"Yes","No"))</f>
        <v>No</v>
      </c>
      <c r="P195" s="7" t="str">
        <f t="shared" si="15"/>
        <v>Closed</v>
      </c>
      <c r="Q195" s="6">
        <v>5</v>
      </c>
      <c r="R195" s="7" t="s">
        <v>196</v>
      </c>
    </row>
    <row r="196" spans="1:18" x14ac:dyDescent="0.35">
      <c r="A196" s="6">
        <v>195</v>
      </c>
      <c r="B196" s="7" t="s">
        <v>392</v>
      </c>
      <c r="C196" s="6">
        <v>11</v>
      </c>
      <c r="D196" s="6">
        <v>12</v>
      </c>
      <c r="E196" s="6">
        <v>11</v>
      </c>
      <c r="F196" s="6">
        <v>10</v>
      </c>
      <c r="G196" s="9">
        <v>45794.280694444496</v>
      </c>
      <c r="H196" s="9">
        <v>45795.030694444496</v>
      </c>
      <c r="I196" s="9">
        <v>45795.247361111098</v>
      </c>
      <c r="J196" s="9">
        <v>45795.414027777799</v>
      </c>
      <c r="K196" s="7" t="s">
        <v>192</v>
      </c>
      <c r="L196" s="10">
        <f t="shared" si="12"/>
        <v>18</v>
      </c>
      <c r="M196" s="10">
        <f t="shared" si="13"/>
        <v>5.1999999984400347</v>
      </c>
      <c r="N196" s="10">
        <f t="shared" si="14"/>
        <v>27.199999999254942</v>
      </c>
      <c r="O196" s="7" t="str">
        <f>IF(ISBLANK(I196),"N/A",IF(((I196-H196)*24)&gt;INDEX(Dim_ServiceType!$E$2:$E$16,MATCH(E196,Dim_ServiceType!$A$2:$A$16,0)),"Yes","No"))</f>
        <v>No</v>
      </c>
      <c r="P196" s="7" t="str">
        <f t="shared" si="15"/>
        <v>Closed</v>
      </c>
      <c r="Q196" s="6">
        <v>5</v>
      </c>
      <c r="R196" s="7" t="s">
        <v>196</v>
      </c>
    </row>
    <row r="197" spans="1:18" x14ac:dyDescent="0.35">
      <c r="A197" s="6">
        <v>196</v>
      </c>
      <c r="B197" s="7" t="s">
        <v>393</v>
      </c>
      <c r="C197" s="6">
        <v>11</v>
      </c>
      <c r="D197" s="6">
        <v>5</v>
      </c>
      <c r="E197" s="6">
        <v>10</v>
      </c>
      <c r="F197" s="6">
        <v>1</v>
      </c>
      <c r="G197" s="9">
        <v>45676.872025463003</v>
      </c>
      <c r="H197" s="9">
        <v>45676.997025463003</v>
      </c>
      <c r="I197" s="9">
        <v>45677.197025463</v>
      </c>
      <c r="J197" s="9">
        <v>45677.447025463</v>
      </c>
      <c r="K197" s="7" t="s">
        <v>192</v>
      </c>
      <c r="L197" s="10">
        <f t="shared" si="12"/>
        <v>3</v>
      </c>
      <c r="M197" s="10">
        <f t="shared" si="13"/>
        <v>4.7999999999301508</v>
      </c>
      <c r="N197" s="10">
        <f t="shared" si="14"/>
        <v>13.799999999930151</v>
      </c>
      <c r="O197" s="7" t="str">
        <f>IF(ISBLANK(I197),"N/A",IF(((I197-H197)*24)&gt;INDEX(Dim_ServiceType!$E$2:$E$16,MATCH(E197,Dim_ServiceType!$A$2:$A$16,0)),"Yes","No"))</f>
        <v>No</v>
      </c>
      <c r="P197" s="7" t="str">
        <f t="shared" si="15"/>
        <v>Closed</v>
      </c>
      <c r="Q197" s="6">
        <v>5</v>
      </c>
      <c r="R197" s="7" t="s">
        <v>196</v>
      </c>
    </row>
    <row r="198" spans="1:18" x14ac:dyDescent="0.35">
      <c r="A198" s="6">
        <v>197</v>
      </c>
      <c r="B198" s="7" t="s">
        <v>394</v>
      </c>
      <c r="C198" s="6">
        <v>8</v>
      </c>
      <c r="D198" s="6">
        <v>12</v>
      </c>
      <c r="E198" s="6">
        <v>9</v>
      </c>
      <c r="F198" s="6">
        <v>4</v>
      </c>
      <c r="G198" s="9">
        <v>45930.912210648101</v>
      </c>
      <c r="H198" s="9">
        <v>45931.245543981502</v>
      </c>
      <c r="I198" s="9">
        <v>45934.503877314797</v>
      </c>
      <c r="J198" s="9">
        <v>45935.503877314797</v>
      </c>
      <c r="K198" s="7" t="s">
        <v>200</v>
      </c>
      <c r="L198" s="10">
        <f t="shared" si="12"/>
        <v>8.0000000016298145</v>
      </c>
      <c r="M198" s="10">
        <f t="shared" si="13"/>
        <v>78.199999999080319</v>
      </c>
      <c r="N198" s="10">
        <f t="shared" si="14"/>
        <v>110.20000000071013</v>
      </c>
      <c r="O198" s="7" t="str">
        <f>IF(ISBLANK(I198),"N/A",IF(((I198-H198)*24)&gt;INDEX(Dim_ServiceType!$E$2:$E$16,MATCH(E198,Dim_ServiceType!$A$2:$A$16,0)),"Yes","No"))</f>
        <v>Yes</v>
      </c>
      <c r="P198" s="7" t="str">
        <f t="shared" si="15"/>
        <v>Closed</v>
      </c>
      <c r="Q198" s="6">
        <v>2</v>
      </c>
      <c r="R198" s="7" t="s">
        <v>196</v>
      </c>
    </row>
    <row r="199" spans="1:18" x14ac:dyDescent="0.35">
      <c r="A199" s="6">
        <v>198</v>
      </c>
      <c r="B199" s="7" t="s">
        <v>395</v>
      </c>
      <c r="C199" s="6">
        <v>9</v>
      </c>
      <c r="D199" s="6">
        <v>9</v>
      </c>
      <c r="E199" s="6">
        <v>13</v>
      </c>
      <c r="F199" s="6">
        <v>5</v>
      </c>
      <c r="G199" s="9">
        <v>45967.704039351898</v>
      </c>
      <c r="H199" s="9">
        <v>45968.454039351898</v>
      </c>
      <c r="I199" s="9">
        <v>45969.183206018497</v>
      </c>
      <c r="J199" s="9">
        <v>45969.266539351898</v>
      </c>
      <c r="K199" s="7" t="s">
        <v>200</v>
      </c>
      <c r="L199" s="10">
        <f t="shared" si="12"/>
        <v>18</v>
      </c>
      <c r="M199" s="10">
        <f t="shared" si="13"/>
        <v>17.499999998370185</v>
      </c>
      <c r="N199" s="10">
        <f t="shared" si="14"/>
        <v>37.5</v>
      </c>
      <c r="O199" s="7" t="str">
        <f>IF(ISBLANK(I199),"N/A",IF(((I199-H199)*24)&gt;INDEX(Dim_ServiceType!$E$2:$E$16,MATCH(E199,Dim_ServiceType!$A$2:$A$16,0)),"Yes","No"))</f>
        <v>No</v>
      </c>
      <c r="P199" s="7" t="str">
        <f t="shared" si="15"/>
        <v>Closed</v>
      </c>
      <c r="Q199" s="6">
        <v>4</v>
      </c>
      <c r="R199" s="7" t="s">
        <v>196</v>
      </c>
    </row>
    <row r="200" spans="1:18" x14ac:dyDescent="0.35">
      <c r="A200" s="6">
        <v>199</v>
      </c>
      <c r="B200" s="7" t="s">
        <v>396</v>
      </c>
      <c r="C200" s="6">
        <v>6</v>
      </c>
      <c r="D200" s="6">
        <v>2</v>
      </c>
      <c r="E200" s="6">
        <v>7</v>
      </c>
      <c r="F200" s="6">
        <v>9</v>
      </c>
      <c r="G200" s="9">
        <v>45934.207453703697</v>
      </c>
      <c r="H200" s="9">
        <v>45934.228287037004</v>
      </c>
      <c r="I200" s="9">
        <v>45935.3824537037</v>
      </c>
      <c r="J200" s="9">
        <v>45935.6324537037</v>
      </c>
      <c r="K200" s="7" t="s">
        <v>198</v>
      </c>
      <c r="L200" s="10">
        <f t="shared" si="12"/>
        <v>0.49999999935971573</v>
      </c>
      <c r="M200" s="10">
        <f t="shared" si="13"/>
        <v>27.700000000710133</v>
      </c>
      <c r="N200" s="10">
        <f t="shared" si="14"/>
        <v>34.200000000069849</v>
      </c>
      <c r="O200" s="7" t="str">
        <f>IF(ISBLANK(I200),"N/A",IF(((I200-H200)*24)&gt;INDEX(Dim_ServiceType!$E$2:$E$16,MATCH(E200,Dim_ServiceType!$A$2:$A$16,0)),"Yes","No"))</f>
        <v>Yes</v>
      </c>
      <c r="P200" s="7" t="str">
        <f t="shared" si="15"/>
        <v>Closed</v>
      </c>
      <c r="Q200" s="6">
        <v>1</v>
      </c>
      <c r="R200" s="7" t="s">
        <v>196</v>
      </c>
    </row>
    <row r="201" spans="1:18" x14ac:dyDescent="0.35">
      <c r="A201" s="6">
        <v>200</v>
      </c>
      <c r="B201" s="7" t="s">
        <v>397</v>
      </c>
      <c r="C201" s="6">
        <v>4</v>
      </c>
      <c r="D201" s="6">
        <v>7</v>
      </c>
      <c r="E201" s="6">
        <v>14</v>
      </c>
      <c r="F201" s="6">
        <v>1</v>
      </c>
      <c r="G201" s="9">
        <v>45694.0296296296</v>
      </c>
      <c r="H201" s="9">
        <v>45694.112962963001</v>
      </c>
      <c r="I201" s="9">
        <v>45694.396296296298</v>
      </c>
      <c r="J201" s="9">
        <v>45694.437962962998</v>
      </c>
      <c r="K201" s="7" t="s">
        <v>200</v>
      </c>
      <c r="L201" s="10">
        <f t="shared" si="12"/>
        <v>2.0000000016298145</v>
      </c>
      <c r="M201" s="10">
        <f t="shared" si="13"/>
        <v>6.7999999991152436</v>
      </c>
      <c r="N201" s="10">
        <f t="shared" si="14"/>
        <v>9.8000000015599653</v>
      </c>
      <c r="O201" s="7" t="str">
        <f>IF(ISBLANK(I201),"N/A",IF(((I201-H201)*24)&gt;INDEX(Dim_ServiceType!$E$2:$E$16,MATCH(E201,Dim_ServiceType!$A$2:$A$16,0)),"Yes","No"))</f>
        <v>No</v>
      </c>
      <c r="P201" s="7" t="str">
        <f t="shared" si="15"/>
        <v>Closed</v>
      </c>
      <c r="Q201" s="6">
        <v>4</v>
      </c>
      <c r="R201" s="7" t="s">
        <v>196</v>
      </c>
    </row>
    <row r="202" spans="1:18" x14ac:dyDescent="0.35">
      <c r="A202" s="6">
        <v>201</v>
      </c>
      <c r="B202" s="7" t="s">
        <v>398</v>
      </c>
      <c r="C202" s="6">
        <v>7</v>
      </c>
      <c r="D202" s="6">
        <v>7</v>
      </c>
      <c r="E202" s="6">
        <v>9</v>
      </c>
      <c r="F202" s="6">
        <v>5</v>
      </c>
      <c r="G202" s="9">
        <v>45764.426608796297</v>
      </c>
      <c r="H202" s="9">
        <v>45764.447442129604</v>
      </c>
      <c r="I202" s="9">
        <v>45766.759942129604</v>
      </c>
      <c r="J202" s="9">
        <v>45766.843275462998</v>
      </c>
      <c r="K202" s="7" t="s">
        <v>198</v>
      </c>
      <c r="L202" s="10">
        <f t="shared" si="12"/>
        <v>0.49999999935971573</v>
      </c>
      <c r="M202" s="10">
        <f t="shared" si="13"/>
        <v>55.5</v>
      </c>
      <c r="N202" s="10">
        <f t="shared" si="14"/>
        <v>58.000000000814907</v>
      </c>
      <c r="O202" s="7" t="str">
        <f>IF(ISBLANK(I202),"N/A",IF(((I202-H202)*24)&gt;INDEX(Dim_ServiceType!$E$2:$E$16,MATCH(E202,Dim_ServiceType!$A$2:$A$16,0)),"Yes","No"))</f>
        <v>No</v>
      </c>
      <c r="P202" s="7" t="str">
        <f t="shared" si="15"/>
        <v>Closed</v>
      </c>
      <c r="Q202" s="6">
        <v>3</v>
      </c>
      <c r="R202" s="7" t="s">
        <v>196</v>
      </c>
    </row>
    <row r="203" spans="1:18" x14ac:dyDescent="0.35">
      <c r="A203" s="6">
        <v>202</v>
      </c>
      <c r="B203" s="7" t="s">
        <v>399</v>
      </c>
      <c r="C203" s="6">
        <v>8</v>
      </c>
      <c r="D203" s="6">
        <v>5</v>
      </c>
      <c r="E203" s="6">
        <v>11</v>
      </c>
      <c r="F203" s="6">
        <v>5</v>
      </c>
      <c r="G203" s="9">
        <v>45701.792777777802</v>
      </c>
      <c r="H203" s="9">
        <v>45702.292777777802</v>
      </c>
      <c r="I203" s="9">
        <v>45702.484444444497</v>
      </c>
      <c r="J203" s="9">
        <v>45702.984444444497</v>
      </c>
      <c r="K203" s="7" t="s">
        <v>192</v>
      </c>
      <c r="L203" s="10">
        <f t="shared" si="12"/>
        <v>12</v>
      </c>
      <c r="M203" s="10">
        <f t="shared" si="13"/>
        <v>4.6000000006752089</v>
      </c>
      <c r="N203" s="10">
        <f t="shared" si="14"/>
        <v>28.600000000675209</v>
      </c>
      <c r="O203" s="7" t="str">
        <f>IF(ISBLANK(I203),"N/A",IF(((I203-H203)*24)&gt;INDEX(Dim_ServiceType!$E$2:$E$16,MATCH(E203,Dim_ServiceType!$A$2:$A$16,0)),"Yes","No"))</f>
        <v>No</v>
      </c>
      <c r="P203" s="7" t="str">
        <f t="shared" si="15"/>
        <v>Closed</v>
      </c>
      <c r="Q203" s="6">
        <v>5</v>
      </c>
      <c r="R203" s="7" t="s">
        <v>196</v>
      </c>
    </row>
    <row r="204" spans="1:18" x14ac:dyDescent="0.35">
      <c r="A204" s="6">
        <v>203</v>
      </c>
      <c r="B204" s="7" t="s">
        <v>400</v>
      </c>
      <c r="C204" s="6">
        <v>2</v>
      </c>
      <c r="D204" s="6">
        <v>15</v>
      </c>
      <c r="E204" s="6">
        <v>1</v>
      </c>
      <c r="F204" s="6">
        <v>11</v>
      </c>
      <c r="G204" s="9">
        <v>45890.516365740703</v>
      </c>
      <c r="H204" s="9">
        <v>45890.641365740703</v>
      </c>
      <c r="I204" s="9">
        <v>45890.770532407398</v>
      </c>
      <c r="J204" s="9">
        <v>45891.270532407398</v>
      </c>
      <c r="K204" s="7" t="s">
        <v>207</v>
      </c>
      <c r="L204" s="10">
        <f t="shared" si="12"/>
        <v>3</v>
      </c>
      <c r="M204" s="10">
        <f t="shared" si="13"/>
        <v>3.1000000006752089</v>
      </c>
      <c r="N204" s="10">
        <f t="shared" si="14"/>
        <v>18.100000000675209</v>
      </c>
      <c r="O204" s="7" t="str">
        <f>IF(ISBLANK(I204),"N/A",IF(((I204-H204)*24)&gt;INDEX(Dim_ServiceType!$E$2:$E$16,MATCH(E204,Dim_ServiceType!$A$2:$A$16,0)),"Yes","No"))</f>
        <v>No</v>
      </c>
      <c r="P204" s="7" t="str">
        <f t="shared" si="15"/>
        <v>Closed</v>
      </c>
      <c r="Q204" s="6">
        <v>5</v>
      </c>
      <c r="R204" s="7" t="s">
        <v>196</v>
      </c>
    </row>
    <row r="205" spans="1:18" x14ac:dyDescent="0.35">
      <c r="A205" s="6">
        <v>204</v>
      </c>
      <c r="B205" s="7" t="s">
        <v>401</v>
      </c>
      <c r="C205" s="6">
        <v>9</v>
      </c>
      <c r="D205" s="6">
        <v>14</v>
      </c>
      <c r="E205" s="6">
        <v>2</v>
      </c>
      <c r="F205" s="6">
        <v>3</v>
      </c>
      <c r="G205" s="9">
        <v>45949.894999999997</v>
      </c>
      <c r="H205" s="9">
        <v>45950.394999999997</v>
      </c>
      <c r="I205" s="9">
        <v>45950.6741666667</v>
      </c>
      <c r="J205" s="9">
        <v>45951.6741666667</v>
      </c>
      <c r="K205" s="7" t="s">
        <v>195</v>
      </c>
      <c r="L205" s="10">
        <f t="shared" si="12"/>
        <v>12</v>
      </c>
      <c r="M205" s="10">
        <f t="shared" si="13"/>
        <v>6.7000000008847564</v>
      </c>
      <c r="N205" s="10">
        <f t="shared" si="14"/>
        <v>42.700000000884756</v>
      </c>
      <c r="O205" s="7" t="str">
        <f>IF(ISBLANK(I205),"N/A",IF(((I205-H205)*24)&gt;INDEX(Dim_ServiceType!$E$2:$E$16,MATCH(E205,Dim_ServiceType!$A$2:$A$16,0)),"Yes","No"))</f>
        <v>Yes</v>
      </c>
      <c r="P205" s="7" t="str">
        <f t="shared" si="15"/>
        <v>Closed</v>
      </c>
      <c r="Q205" s="6">
        <v>5</v>
      </c>
      <c r="R205" s="7" t="s">
        <v>196</v>
      </c>
    </row>
    <row r="206" spans="1:18" x14ac:dyDescent="0.35">
      <c r="A206" s="6">
        <v>205</v>
      </c>
      <c r="B206" s="7" t="s">
        <v>402</v>
      </c>
      <c r="C206" s="6">
        <v>12</v>
      </c>
      <c r="D206" s="6">
        <v>9</v>
      </c>
      <c r="E206" s="6">
        <v>11</v>
      </c>
      <c r="F206" s="6">
        <v>13</v>
      </c>
      <c r="G206" s="9">
        <v>45791.4009606482</v>
      </c>
      <c r="H206" s="9">
        <v>45792.1509606482</v>
      </c>
      <c r="I206" s="9"/>
      <c r="J206" s="9"/>
      <c r="K206" s="7" t="s">
        <v>198</v>
      </c>
      <c r="L206" s="10">
        <f t="shared" si="12"/>
        <v>18</v>
      </c>
      <c r="M206" s="10" t="str">
        <f t="shared" si="13"/>
        <v/>
      </c>
      <c r="N206" s="10" t="str">
        <f t="shared" si="14"/>
        <v/>
      </c>
      <c r="O206" s="7" t="str">
        <f>IF(ISBLANK(I206),"N/A",IF(((I206-H206)*24)&gt;INDEX(Dim_ServiceType!$E$2:$E$16,MATCH(E206,Dim_ServiceType!$A$2:$A$16,0)),"Yes","No"))</f>
        <v>N/A</v>
      </c>
      <c r="P206" s="7" t="str">
        <f t="shared" si="15"/>
        <v>In Progress</v>
      </c>
      <c r="Q206" s="6"/>
      <c r="R206" s="7"/>
    </row>
    <row r="207" spans="1:18" x14ac:dyDescent="0.35">
      <c r="A207" s="6">
        <v>206</v>
      </c>
      <c r="B207" s="7" t="s">
        <v>403</v>
      </c>
      <c r="C207" s="6">
        <v>4</v>
      </c>
      <c r="D207" s="6">
        <v>9</v>
      </c>
      <c r="E207" s="6">
        <v>10</v>
      </c>
      <c r="F207" s="6">
        <v>14</v>
      </c>
      <c r="G207" s="9">
        <v>45779.441956018498</v>
      </c>
      <c r="H207" s="9">
        <v>45780.441956018498</v>
      </c>
      <c r="I207" s="9">
        <v>45780.654456018499</v>
      </c>
      <c r="J207" s="9">
        <v>45781.654456018499</v>
      </c>
      <c r="K207" s="7" t="s">
        <v>207</v>
      </c>
      <c r="L207" s="10">
        <f t="shared" si="12"/>
        <v>24</v>
      </c>
      <c r="M207" s="10">
        <f t="shared" si="13"/>
        <v>5.1000000000349246</v>
      </c>
      <c r="N207" s="10">
        <f t="shared" si="14"/>
        <v>53.100000000034925</v>
      </c>
      <c r="O207" s="7" t="str">
        <f>IF(ISBLANK(I207),"N/A",IF(((I207-H207)*24)&gt;INDEX(Dim_ServiceType!$E$2:$E$16,MATCH(E207,Dim_ServiceType!$A$2:$A$16,0)),"Yes","No"))</f>
        <v>No</v>
      </c>
      <c r="P207" s="7" t="str">
        <f t="shared" si="15"/>
        <v>Closed</v>
      </c>
      <c r="Q207" s="6">
        <v>5</v>
      </c>
      <c r="R207" s="7" t="s">
        <v>196</v>
      </c>
    </row>
    <row r="208" spans="1:18" x14ac:dyDescent="0.35">
      <c r="A208" s="6">
        <v>207</v>
      </c>
      <c r="B208" s="7" t="s">
        <v>404</v>
      </c>
      <c r="C208" s="6">
        <v>15</v>
      </c>
      <c r="D208" s="6">
        <v>5</v>
      </c>
      <c r="E208" s="6">
        <v>10</v>
      </c>
      <c r="F208" s="6">
        <v>6</v>
      </c>
      <c r="G208" s="9">
        <v>45864.149317129602</v>
      </c>
      <c r="H208" s="9">
        <v>45864.190983796303</v>
      </c>
      <c r="I208" s="9">
        <v>45864.307650463001</v>
      </c>
      <c r="J208" s="9">
        <v>45864.3493171296</v>
      </c>
      <c r="K208" s="7" t="s">
        <v>207</v>
      </c>
      <c r="L208" s="10">
        <f t="shared" si="12"/>
        <v>1.0000000008149073</v>
      </c>
      <c r="M208" s="10">
        <f t="shared" si="13"/>
        <v>2.8000000007450581</v>
      </c>
      <c r="N208" s="10">
        <f t="shared" si="14"/>
        <v>4.7999999999301508</v>
      </c>
      <c r="O208" s="7" t="str">
        <f>IF(ISBLANK(I208),"N/A",IF(((I208-H208)*24)&gt;INDEX(Dim_ServiceType!$E$2:$E$16,MATCH(E208,Dim_ServiceType!$A$2:$A$16,0)),"Yes","No"))</f>
        <v>No</v>
      </c>
      <c r="P208" s="7" t="str">
        <f t="shared" si="15"/>
        <v>Closed</v>
      </c>
      <c r="Q208" s="6">
        <v>1</v>
      </c>
      <c r="R208" s="7" t="s">
        <v>196</v>
      </c>
    </row>
    <row r="209" spans="1:18" x14ac:dyDescent="0.35">
      <c r="A209" s="6">
        <v>208</v>
      </c>
      <c r="B209" s="7" t="s">
        <v>405</v>
      </c>
      <c r="C209" s="6">
        <v>2</v>
      </c>
      <c r="D209" s="6">
        <v>14</v>
      </c>
      <c r="E209" s="6">
        <v>5</v>
      </c>
      <c r="F209" s="6">
        <v>7</v>
      </c>
      <c r="G209" s="9">
        <v>45993.622048611098</v>
      </c>
      <c r="H209" s="9"/>
      <c r="I209" s="9"/>
      <c r="J209" s="9"/>
      <c r="K209" s="7" t="s">
        <v>200</v>
      </c>
      <c r="L209" s="10" t="str">
        <f t="shared" si="12"/>
        <v/>
      </c>
      <c r="M209" s="10" t="str">
        <f t="shared" si="13"/>
        <v/>
      </c>
      <c r="N209" s="10" t="str">
        <f t="shared" si="14"/>
        <v/>
      </c>
      <c r="O209" s="7" t="str">
        <f>IF(ISBLANK(I209),"N/A",IF(((I209-H209)*24)&gt;INDEX(Dim_ServiceType!$E$2:$E$16,MATCH(E209,Dim_ServiceType!$A$2:$A$16,0)),"Yes","No"))</f>
        <v>N/A</v>
      </c>
      <c r="P209" s="7" t="str">
        <f t="shared" si="15"/>
        <v>Open (Unassigned)</v>
      </c>
      <c r="Q209" s="6"/>
      <c r="R209" s="7"/>
    </row>
    <row r="210" spans="1:18" x14ac:dyDescent="0.35">
      <c r="A210" s="6">
        <v>209</v>
      </c>
      <c r="B210" s="7" t="s">
        <v>406</v>
      </c>
      <c r="C210" s="6">
        <v>10</v>
      </c>
      <c r="D210" s="6">
        <v>4</v>
      </c>
      <c r="E210" s="6">
        <v>9</v>
      </c>
      <c r="F210" s="6">
        <v>10</v>
      </c>
      <c r="G210" s="9">
        <v>45790.4213773148</v>
      </c>
      <c r="H210" s="9">
        <v>45790.588043981501</v>
      </c>
      <c r="I210" s="9"/>
      <c r="J210" s="9"/>
      <c r="K210" s="7" t="s">
        <v>195</v>
      </c>
      <c r="L210" s="10">
        <f t="shared" si="12"/>
        <v>4.0000000008149073</v>
      </c>
      <c r="M210" s="10" t="str">
        <f t="shared" si="13"/>
        <v/>
      </c>
      <c r="N210" s="10" t="str">
        <f t="shared" si="14"/>
        <v/>
      </c>
      <c r="O210" s="7" t="str">
        <f>IF(ISBLANK(I210),"N/A",IF(((I210-H210)*24)&gt;INDEX(Dim_ServiceType!$E$2:$E$16,MATCH(E210,Dim_ServiceType!$A$2:$A$16,0)),"Yes","No"))</f>
        <v>N/A</v>
      </c>
      <c r="P210" s="7" t="str">
        <f t="shared" si="15"/>
        <v>In Progress</v>
      </c>
      <c r="Q210" s="6"/>
      <c r="R210" s="7"/>
    </row>
    <row r="211" spans="1:18" x14ac:dyDescent="0.35">
      <c r="A211" s="6">
        <v>210</v>
      </c>
      <c r="B211" s="7" t="s">
        <v>407</v>
      </c>
      <c r="C211" s="6">
        <v>5</v>
      </c>
      <c r="D211" s="6">
        <v>12</v>
      </c>
      <c r="E211" s="6">
        <v>2</v>
      </c>
      <c r="F211" s="6">
        <v>13</v>
      </c>
      <c r="G211" s="9">
        <v>45673.4090856482</v>
      </c>
      <c r="H211" s="9">
        <v>45674.4090856482</v>
      </c>
      <c r="I211" s="9">
        <v>45674.638252314799</v>
      </c>
      <c r="J211" s="9">
        <v>45674.6590856482</v>
      </c>
      <c r="K211" s="7" t="s">
        <v>207</v>
      </c>
      <c r="L211" s="10">
        <f t="shared" si="12"/>
        <v>24</v>
      </c>
      <c r="M211" s="10">
        <f t="shared" si="13"/>
        <v>5.4999999983701855</v>
      </c>
      <c r="N211" s="10">
        <f t="shared" si="14"/>
        <v>30</v>
      </c>
      <c r="O211" s="7" t="str">
        <f>IF(ISBLANK(I211),"N/A",IF(((I211-H211)*24)&gt;INDEX(Dim_ServiceType!$E$2:$E$16,MATCH(E211,Dim_ServiceType!$A$2:$A$16,0)),"Yes","No"))</f>
        <v>No</v>
      </c>
      <c r="P211" s="7" t="str">
        <f t="shared" si="15"/>
        <v>Closed</v>
      </c>
      <c r="Q211" s="6">
        <v>5</v>
      </c>
      <c r="R211" s="7" t="s">
        <v>196</v>
      </c>
    </row>
    <row r="212" spans="1:18" x14ac:dyDescent="0.35">
      <c r="A212" s="6">
        <v>211</v>
      </c>
      <c r="B212" s="7" t="s">
        <v>408</v>
      </c>
      <c r="C212" s="6">
        <v>14</v>
      </c>
      <c r="D212" s="6">
        <v>10</v>
      </c>
      <c r="E212" s="6">
        <v>8</v>
      </c>
      <c r="F212" s="6">
        <v>4</v>
      </c>
      <c r="G212" s="9">
        <v>45792.803009259304</v>
      </c>
      <c r="H212" s="9">
        <v>45793.303009259304</v>
      </c>
      <c r="I212" s="9">
        <v>45793.478009259299</v>
      </c>
      <c r="J212" s="9">
        <v>45793.519675925898</v>
      </c>
      <c r="K212" s="7" t="s">
        <v>195</v>
      </c>
      <c r="L212" s="10">
        <f t="shared" si="12"/>
        <v>12</v>
      </c>
      <c r="M212" s="10">
        <f t="shared" si="13"/>
        <v>4.1999999998952262</v>
      </c>
      <c r="N212" s="10">
        <f t="shared" si="14"/>
        <v>17.199999998265412</v>
      </c>
      <c r="O212" s="7" t="str">
        <f>IF(ISBLANK(I212),"N/A",IF(((I212-H212)*24)&gt;INDEX(Dim_ServiceType!$E$2:$E$16,MATCH(E212,Dim_ServiceType!$A$2:$A$16,0)),"Yes","No"))</f>
        <v>No</v>
      </c>
      <c r="P212" s="7" t="str">
        <f t="shared" si="15"/>
        <v>Closed</v>
      </c>
      <c r="Q212" s="6">
        <v>5</v>
      </c>
      <c r="R212" s="7" t="s">
        <v>196</v>
      </c>
    </row>
    <row r="213" spans="1:18" x14ac:dyDescent="0.35">
      <c r="A213" s="6">
        <v>212</v>
      </c>
      <c r="B213" s="7" t="s">
        <v>409</v>
      </c>
      <c r="C213" s="6">
        <v>10</v>
      </c>
      <c r="D213" s="6">
        <v>11</v>
      </c>
      <c r="E213" s="6">
        <v>15</v>
      </c>
      <c r="F213" s="6">
        <v>2</v>
      </c>
      <c r="G213" s="9">
        <v>45811.5632175926</v>
      </c>
      <c r="H213" s="9">
        <v>45811.6882175926</v>
      </c>
      <c r="I213" s="9">
        <v>45812.8340509259</v>
      </c>
      <c r="J213" s="9">
        <v>45812.8757175926</v>
      </c>
      <c r="K213" s="7" t="s">
        <v>195</v>
      </c>
      <c r="L213" s="10">
        <f t="shared" si="12"/>
        <v>3</v>
      </c>
      <c r="M213" s="10">
        <f t="shared" si="13"/>
        <v>27.499999999185093</v>
      </c>
      <c r="N213" s="10">
        <f t="shared" si="14"/>
        <v>31.5</v>
      </c>
      <c r="O213" s="7" t="str">
        <f>IF(ISBLANK(I213),"N/A",IF(((I213-H213)*24)&gt;INDEX(Dim_ServiceType!$E$2:$E$16,MATCH(E213,Dim_ServiceType!$A$2:$A$16,0)),"Yes","No"))</f>
        <v>Yes</v>
      </c>
      <c r="P213" s="7" t="str">
        <f t="shared" si="15"/>
        <v>Closed</v>
      </c>
      <c r="Q213" s="6">
        <v>2</v>
      </c>
      <c r="R213" s="7" t="s">
        <v>196</v>
      </c>
    </row>
    <row r="214" spans="1:18" x14ac:dyDescent="0.35">
      <c r="A214" s="6">
        <v>213</v>
      </c>
      <c r="B214" s="7" t="s">
        <v>410</v>
      </c>
      <c r="C214" s="6">
        <v>2</v>
      </c>
      <c r="D214" s="6">
        <v>7</v>
      </c>
      <c r="E214" s="6">
        <v>14</v>
      </c>
      <c r="F214" s="6">
        <v>9</v>
      </c>
      <c r="G214" s="9">
        <v>45986.889432870397</v>
      </c>
      <c r="H214" s="9">
        <v>45987.056099537003</v>
      </c>
      <c r="I214" s="9">
        <v>45987.247766203698</v>
      </c>
      <c r="J214" s="9">
        <v>45988.247766203698</v>
      </c>
      <c r="K214" s="7" t="s">
        <v>200</v>
      </c>
      <c r="L214" s="10">
        <f t="shared" si="12"/>
        <v>3.9999999985448085</v>
      </c>
      <c r="M214" s="10">
        <f t="shared" si="13"/>
        <v>4.6000000006752089</v>
      </c>
      <c r="N214" s="10">
        <f t="shared" si="14"/>
        <v>32.599999999220017</v>
      </c>
      <c r="O214" s="7" t="str">
        <f>IF(ISBLANK(I214),"N/A",IF(((I214-H214)*24)&gt;INDEX(Dim_ServiceType!$E$2:$E$16,MATCH(E214,Dim_ServiceType!$A$2:$A$16,0)),"Yes","No"))</f>
        <v>No</v>
      </c>
      <c r="P214" s="7" t="str">
        <f t="shared" si="15"/>
        <v>Closed</v>
      </c>
      <c r="Q214" s="6">
        <v>5</v>
      </c>
      <c r="R214" s="7" t="s">
        <v>196</v>
      </c>
    </row>
    <row r="215" spans="1:18" x14ac:dyDescent="0.35">
      <c r="A215" s="6">
        <v>214</v>
      </c>
      <c r="B215" s="7" t="s">
        <v>411</v>
      </c>
      <c r="C215" s="6">
        <v>2</v>
      </c>
      <c r="D215" s="6">
        <v>13</v>
      </c>
      <c r="E215" s="6">
        <v>11</v>
      </c>
      <c r="F215" s="6">
        <v>12</v>
      </c>
      <c r="G215" s="9">
        <v>45929.108414351896</v>
      </c>
      <c r="H215" s="9">
        <v>45929.129247685203</v>
      </c>
      <c r="I215" s="9">
        <v>45929.712581018503</v>
      </c>
      <c r="J215" s="9">
        <v>45929.754247685203</v>
      </c>
      <c r="K215" s="7" t="s">
        <v>200</v>
      </c>
      <c r="L215" s="10">
        <f t="shared" si="12"/>
        <v>0.49999999935971573</v>
      </c>
      <c r="M215" s="10">
        <f t="shared" si="13"/>
        <v>13.999999999185093</v>
      </c>
      <c r="N215" s="10">
        <f t="shared" si="14"/>
        <v>15.499999999359716</v>
      </c>
      <c r="O215" s="7" t="str">
        <f>IF(ISBLANK(I215),"N/A",IF(((I215-H215)*24)&gt;INDEX(Dim_ServiceType!$E$2:$E$16,MATCH(E215,Dim_ServiceType!$A$2:$A$16,0)),"Yes","No"))</f>
        <v>Yes</v>
      </c>
      <c r="P215" s="7" t="str">
        <f t="shared" si="15"/>
        <v>Closed</v>
      </c>
      <c r="Q215" s="6">
        <v>3</v>
      </c>
      <c r="R215" s="7" t="s">
        <v>196</v>
      </c>
    </row>
    <row r="216" spans="1:18" x14ac:dyDescent="0.35">
      <c r="A216" s="6">
        <v>215</v>
      </c>
      <c r="B216" s="7" t="s">
        <v>412</v>
      </c>
      <c r="C216" s="6">
        <v>9</v>
      </c>
      <c r="D216" s="6">
        <v>1</v>
      </c>
      <c r="E216" s="6">
        <v>9</v>
      </c>
      <c r="F216" s="6">
        <v>15</v>
      </c>
      <c r="G216" s="9">
        <v>45813.571365740703</v>
      </c>
      <c r="H216" s="9">
        <v>45814.321365740703</v>
      </c>
      <c r="I216" s="9"/>
      <c r="J216" s="9"/>
      <c r="K216" s="7" t="s">
        <v>192</v>
      </c>
      <c r="L216" s="10">
        <f t="shared" si="12"/>
        <v>18</v>
      </c>
      <c r="M216" s="10" t="str">
        <f t="shared" si="13"/>
        <v/>
      </c>
      <c r="N216" s="10" t="str">
        <f t="shared" si="14"/>
        <v/>
      </c>
      <c r="O216" s="7" t="str">
        <f>IF(ISBLANK(I216),"N/A",IF(((I216-H216)*24)&gt;INDEX(Dim_ServiceType!$E$2:$E$16,MATCH(E216,Dim_ServiceType!$A$2:$A$16,0)),"Yes","No"))</f>
        <v>N/A</v>
      </c>
      <c r="P216" s="7" t="str">
        <f t="shared" si="15"/>
        <v>In Progress</v>
      </c>
      <c r="Q216" s="6"/>
      <c r="R216" s="7"/>
    </row>
    <row r="217" spans="1:18" x14ac:dyDescent="0.35">
      <c r="A217" s="6">
        <v>216</v>
      </c>
      <c r="B217" s="7" t="s">
        <v>413</v>
      </c>
      <c r="C217" s="6">
        <v>4</v>
      </c>
      <c r="D217" s="6">
        <v>1</v>
      </c>
      <c r="E217" s="6">
        <v>5</v>
      </c>
      <c r="F217" s="6">
        <v>4</v>
      </c>
      <c r="G217" s="9">
        <v>45997.381979166697</v>
      </c>
      <c r="H217" s="9">
        <v>45998.131979166697</v>
      </c>
      <c r="I217" s="9">
        <v>45998.486145833303</v>
      </c>
      <c r="J217" s="9">
        <v>45998.736145833303</v>
      </c>
      <c r="K217" s="7" t="s">
        <v>192</v>
      </c>
      <c r="L217" s="10">
        <f t="shared" si="12"/>
        <v>18</v>
      </c>
      <c r="M217" s="10">
        <f t="shared" si="13"/>
        <v>8.4999999985448085</v>
      </c>
      <c r="N217" s="10">
        <f t="shared" si="14"/>
        <v>32.499999998544808</v>
      </c>
      <c r="O217" s="7" t="str">
        <f>IF(ISBLANK(I217),"N/A",IF(((I217-H217)*24)&gt;INDEX(Dim_ServiceType!$E$2:$E$16,MATCH(E217,Dim_ServiceType!$A$2:$A$16,0)),"Yes","No"))</f>
        <v>No</v>
      </c>
      <c r="P217" s="7" t="str">
        <f t="shared" si="15"/>
        <v>Closed</v>
      </c>
      <c r="Q217" s="6">
        <v>4</v>
      </c>
      <c r="R217" s="7" t="s">
        <v>196</v>
      </c>
    </row>
    <row r="218" spans="1:18" x14ac:dyDescent="0.35">
      <c r="A218" s="6">
        <v>217</v>
      </c>
      <c r="B218" s="7" t="s">
        <v>414</v>
      </c>
      <c r="C218" s="6">
        <v>14</v>
      </c>
      <c r="D218" s="6">
        <v>7</v>
      </c>
      <c r="E218" s="6">
        <v>13</v>
      </c>
      <c r="F218" s="6">
        <v>1</v>
      </c>
      <c r="G218" s="9">
        <v>45756.895289351902</v>
      </c>
      <c r="H218" s="9">
        <v>45757.020289351902</v>
      </c>
      <c r="I218" s="9">
        <v>45758.224456018499</v>
      </c>
      <c r="J218" s="9">
        <v>45758.3911226852</v>
      </c>
      <c r="K218" s="7" t="s">
        <v>200</v>
      </c>
      <c r="L218" s="10">
        <f t="shared" si="12"/>
        <v>3</v>
      </c>
      <c r="M218" s="10">
        <f t="shared" si="13"/>
        <v>28.899999998335261</v>
      </c>
      <c r="N218" s="10">
        <f t="shared" si="14"/>
        <v>35.899999999150168</v>
      </c>
      <c r="O218" s="7" t="str">
        <f>IF(ISBLANK(I218),"N/A",IF(((I218-H218)*24)&gt;INDEX(Dim_ServiceType!$E$2:$E$16,MATCH(E218,Dim_ServiceType!$A$2:$A$16,0)),"Yes","No"))</f>
        <v>Yes</v>
      </c>
      <c r="P218" s="7" t="str">
        <f t="shared" si="15"/>
        <v>Closed</v>
      </c>
      <c r="Q218" s="6">
        <v>4</v>
      </c>
      <c r="R218" s="7" t="s">
        <v>193</v>
      </c>
    </row>
    <row r="219" spans="1:18" x14ac:dyDescent="0.35">
      <c r="A219" s="6">
        <v>218</v>
      </c>
      <c r="B219" s="7" t="s">
        <v>415</v>
      </c>
      <c r="C219" s="6">
        <v>9</v>
      </c>
      <c r="D219" s="6">
        <v>2</v>
      </c>
      <c r="E219" s="6">
        <v>3</v>
      </c>
      <c r="F219" s="6">
        <v>7</v>
      </c>
      <c r="G219" s="9">
        <v>45897.575636574104</v>
      </c>
      <c r="H219" s="9">
        <v>45897.658969907403</v>
      </c>
      <c r="I219" s="9">
        <v>45897.8589699074</v>
      </c>
      <c r="J219" s="9">
        <v>45897.942303240699</v>
      </c>
      <c r="K219" s="7" t="s">
        <v>207</v>
      </c>
      <c r="L219" s="10">
        <f t="shared" si="12"/>
        <v>1.9999999991850927</v>
      </c>
      <c r="M219" s="10">
        <f t="shared" si="13"/>
        <v>4.7999999999301508</v>
      </c>
      <c r="N219" s="10">
        <f t="shared" si="14"/>
        <v>8.7999999983003363</v>
      </c>
      <c r="O219" s="7" t="str">
        <f>IF(ISBLANK(I219),"N/A",IF(((I219-H219)*24)&gt;INDEX(Dim_ServiceType!$E$2:$E$16,MATCH(E219,Dim_ServiceType!$A$2:$A$16,0)),"Yes","No"))</f>
        <v>No</v>
      </c>
      <c r="P219" s="7" t="str">
        <f t="shared" si="15"/>
        <v>Closed</v>
      </c>
      <c r="Q219" s="6">
        <v>2</v>
      </c>
      <c r="R219" s="7" t="s">
        <v>196</v>
      </c>
    </row>
    <row r="220" spans="1:18" x14ac:dyDescent="0.35">
      <c r="A220" s="6">
        <v>219</v>
      </c>
      <c r="B220" s="7" t="s">
        <v>416</v>
      </c>
      <c r="C220" s="6">
        <v>6</v>
      </c>
      <c r="D220" s="6">
        <v>10</v>
      </c>
      <c r="E220" s="6">
        <v>11</v>
      </c>
      <c r="F220" s="6">
        <v>4</v>
      </c>
      <c r="G220" s="9">
        <v>45881.893518518496</v>
      </c>
      <c r="H220" s="9">
        <v>45882.643518518496</v>
      </c>
      <c r="I220" s="9">
        <v>45882.943518518499</v>
      </c>
      <c r="J220" s="9">
        <v>45883.193518518499</v>
      </c>
      <c r="K220" s="7" t="s">
        <v>195</v>
      </c>
      <c r="L220" s="10">
        <f t="shared" si="12"/>
        <v>18</v>
      </c>
      <c r="M220" s="10">
        <f t="shared" si="13"/>
        <v>7.2000000000698492</v>
      </c>
      <c r="N220" s="10">
        <f t="shared" si="14"/>
        <v>31.200000000069849</v>
      </c>
      <c r="O220" s="7" t="str">
        <f>IF(ISBLANK(I220),"N/A",IF(((I220-H220)*24)&gt;INDEX(Dim_ServiceType!$E$2:$E$16,MATCH(E220,Dim_ServiceType!$A$2:$A$16,0)),"Yes","No"))</f>
        <v>No</v>
      </c>
      <c r="P220" s="7" t="str">
        <f t="shared" si="15"/>
        <v>Closed</v>
      </c>
      <c r="Q220" s="6">
        <v>4</v>
      </c>
      <c r="R220" s="7" t="s">
        <v>196</v>
      </c>
    </row>
    <row r="221" spans="1:18" x14ac:dyDescent="0.35">
      <c r="A221" s="6">
        <v>220</v>
      </c>
      <c r="B221" s="7" t="s">
        <v>417</v>
      </c>
      <c r="C221" s="6">
        <v>3</v>
      </c>
      <c r="D221" s="6">
        <v>14</v>
      </c>
      <c r="E221" s="6">
        <v>15</v>
      </c>
      <c r="F221" s="6">
        <v>11</v>
      </c>
      <c r="G221" s="9">
        <v>45829.743587962999</v>
      </c>
      <c r="H221" s="9">
        <v>45829.910254629598</v>
      </c>
      <c r="I221" s="9">
        <v>45830.7894212963</v>
      </c>
      <c r="J221" s="9">
        <v>45830.8727546296</v>
      </c>
      <c r="K221" s="7" t="s">
        <v>200</v>
      </c>
      <c r="L221" s="10">
        <f t="shared" si="12"/>
        <v>3.9999999983701855</v>
      </c>
      <c r="M221" s="10">
        <f t="shared" si="13"/>
        <v>21.100000000849832</v>
      </c>
      <c r="N221" s="10">
        <f t="shared" si="14"/>
        <v>27.09999999840511</v>
      </c>
      <c r="O221" s="7" t="str">
        <f>IF(ISBLANK(I221),"N/A",IF(((I221-H221)*24)&gt;INDEX(Dim_ServiceType!$E$2:$E$16,MATCH(E221,Dim_ServiceType!$A$2:$A$16,0)),"Yes","No"))</f>
        <v>No</v>
      </c>
      <c r="P221" s="7" t="str">
        <f t="shared" si="15"/>
        <v>Closed</v>
      </c>
      <c r="Q221" s="6">
        <v>5</v>
      </c>
      <c r="R221" s="7" t="s">
        <v>196</v>
      </c>
    </row>
    <row r="222" spans="1:18" x14ac:dyDescent="0.35">
      <c r="A222" s="6">
        <v>221</v>
      </c>
      <c r="B222" s="7" t="s">
        <v>418</v>
      </c>
      <c r="C222" s="6">
        <v>11</v>
      </c>
      <c r="D222" s="6">
        <v>12</v>
      </c>
      <c r="E222" s="6">
        <v>6</v>
      </c>
      <c r="F222" s="6">
        <v>12</v>
      </c>
      <c r="G222" s="9">
        <v>45906.277465277803</v>
      </c>
      <c r="H222" s="9">
        <v>45906.360798611102</v>
      </c>
      <c r="I222" s="9">
        <v>45907.252465277801</v>
      </c>
      <c r="J222" s="9">
        <v>45907.2941319444</v>
      </c>
      <c r="K222" s="7" t="s">
        <v>200</v>
      </c>
      <c r="L222" s="10">
        <f t="shared" si="12"/>
        <v>1.9999999991850927</v>
      </c>
      <c r="M222" s="10">
        <f t="shared" si="13"/>
        <v>21.400000000779983</v>
      </c>
      <c r="N222" s="10">
        <f t="shared" si="14"/>
        <v>24.399999998335261</v>
      </c>
      <c r="O222" s="7" t="str">
        <f>IF(ISBLANK(I222),"N/A",IF(((I222-H222)*24)&gt;INDEX(Dim_ServiceType!$E$2:$E$16,MATCH(E222,Dim_ServiceType!$A$2:$A$16,0)),"Yes","No"))</f>
        <v>No</v>
      </c>
      <c r="P222" s="7" t="str">
        <f t="shared" si="15"/>
        <v>Closed</v>
      </c>
      <c r="Q222" s="6">
        <v>5</v>
      </c>
      <c r="R222" s="7" t="s">
        <v>196</v>
      </c>
    </row>
    <row r="223" spans="1:18" x14ac:dyDescent="0.35">
      <c r="A223" s="6">
        <v>222</v>
      </c>
      <c r="B223" s="7" t="s">
        <v>419</v>
      </c>
      <c r="C223" s="6">
        <v>1</v>
      </c>
      <c r="D223" s="6">
        <v>3</v>
      </c>
      <c r="E223" s="6">
        <v>14</v>
      </c>
      <c r="F223" s="6">
        <v>3</v>
      </c>
      <c r="G223" s="9">
        <v>45925.376400462999</v>
      </c>
      <c r="H223" s="9">
        <v>45926.376400462999</v>
      </c>
      <c r="I223" s="9">
        <v>45926.651400463001</v>
      </c>
      <c r="J223" s="9">
        <v>45927.651400463001</v>
      </c>
      <c r="K223" s="7" t="s">
        <v>195</v>
      </c>
      <c r="L223" s="10">
        <f t="shared" si="12"/>
        <v>24</v>
      </c>
      <c r="M223" s="10">
        <f t="shared" si="13"/>
        <v>6.6000000000349246</v>
      </c>
      <c r="N223" s="10">
        <f t="shared" si="14"/>
        <v>54.600000000034925</v>
      </c>
      <c r="O223" s="7" t="str">
        <f>IF(ISBLANK(I223),"N/A",IF(((I223-H223)*24)&gt;INDEX(Dim_ServiceType!$E$2:$E$16,MATCH(E223,Dim_ServiceType!$A$2:$A$16,0)),"Yes","No"))</f>
        <v>No</v>
      </c>
      <c r="P223" s="7" t="str">
        <f t="shared" si="15"/>
        <v>Closed</v>
      </c>
      <c r="Q223" s="6">
        <v>3</v>
      </c>
      <c r="R223" s="7" t="s">
        <v>196</v>
      </c>
    </row>
    <row r="224" spans="1:18" x14ac:dyDescent="0.35">
      <c r="A224" s="6">
        <v>223</v>
      </c>
      <c r="B224" s="7" t="s">
        <v>420</v>
      </c>
      <c r="C224" s="6">
        <v>5</v>
      </c>
      <c r="D224" s="6">
        <v>11</v>
      </c>
      <c r="E224" s="6">
        <v>2</v>
      </c>
      <c r="F224" s="6">
        <v>11</v>
      </c>
      <c r="G224" s="9">
        <v>45924.922662037003</v>
      </c>
      <c r="H224" s="9">
        <v>45924.943495370397</v>
      </c>
      <c r="I224" s="9">
        <v>45925.105995370403</v>
      </c>
      <c r="J224" s="9">
        <v>45925.272662037001</v>
      </c>
      <c r="K224" s="7" t="s">
        <v>207</v>
      </c>
      <c r="L224" s="10">
        <f t="shared" si="12"/>
        <v>0.50000000145519152</v>
      </c>
      <c r="M224" s="10">
        <f t="shared" si="13"/>
        <v>3.9000000001396984</v>
      </c>
      <c r="N224" s="10">
        <f t="shared" si="14"/>
        <v>8.3999999999650754</v>
      </c>
      <c r="O224" s="7" t="str">
        <f>IF(ISBLANK(I224),"N/A",IF(((I224-H224)*24)&gt;INDEX(Dim_ServiceType!$E$2:$E$16,MATCH(E224,Dim_ServiceType!$A$2:$A$16,0)),"Yes","No"))</f>
        <v>No</v>
      </c>
      <c r="P224" s="7" t="str">
        <f t="shared" si="15"/>
        <v>Closed</v>
      </c>
      <c r="Q224" s="6">
        <v>3</v>
      </c>
      <c r="R224" s="7" t="s">
        <v>196</v>
      </c>
    </row>
    <row r="225" spans="1:18" x14ac:dyDescent="0.35">
      <c r="A225" s="6">
        <v>224</v>
      </c>
      <c r="B225" s="7" t="s">
        <v>421</v>
      </c>
      <c r="C225" s="6">
        <v>1</v>
      </c>
      <c r="D225" s="6">
        <v>15</v>
      </c>
      <c r="E225" s="6">
        <v>3</v>
      </c>
      <c r="F225" s="6">
        <v>8</v>
      </c>
      <c r="G225" s="9">
        <v>45967.003622685203</v>
      </c>
      <c r="H225" s="9">
        <v>45967.128622685203</v>
      </c>
      <c r="I225" s="9">
        <v>45967.303622685198</v>
      </c>
      <c r="J225" s="9">
        <v>45967.324456018498</v>
      </c>
      <c r="K225" s="7" t="s">
        <v>195</v>
      </c>
      <c r="L225" s="10">
        <f t="shared" si="12"/>
        <v>3</v>
      </c>
      <c r="M225" s="10">
        <f t="shared" si="13"/>
        <v>4.1999999998952262</v>
      </c>
      <c r="N225" s="10">
        <f t="shared" si="14"/>
        <v>7.699999999080319</v>
      </c>
      <c r="O225" s="7" t="str">
        <f>IF(ISBLANK(I225),"N/A",IF(((I225-H225)*24)&gt;INDEX(Dim_ServiceType!$E$2:$E$16,MATCH(E225,Dim_ServiceType!$A$2:$A$16,0)),"Yes","No"))</f>
        <v>No</v>
      </c>
      <c r="P225" s="7" t="str">
        <f t="shared" si="15"/>
        <v>Closed</v>
      </c>
      <c r="Q225" s="6">
        <v>3</v>
      </c>
      <c r="R225" s="7" t="s">
        <v>196</v>
      </c>
    </row>
    <row r="226" spans="1:18" x14ac:dyDescent="0.35">
      <c r="A226" s="6">
        <v>225</v>
      </c>
      <c r="B226" s="7" t="s">
        <v>422</v>
      </c>
      <c r="C226" s="6">
        <v>3</v>
      </c>
      <c r="D226" s="6">
        <v>4</v>
      </c>
      <c r="E226" s="6">
        <v>5</v>
      </c>
      <c r="F226" s="6">
        <v>13</v>
      </c>
      <c r="G226" s="9">
        <v>45792.2719097222</v>
      </c>
      <c r="H226" s="9">
        <v>45793.0219097222</v>
      </c>
      <c r="I226" s="9"/>
      <c r="J226" s="9"/>
      <c r="K226" s="7" t="s">
        <v>192</v>
      </c>
      <c r="L226" s="10">
        <f t="shared" si="12"/>
        <v>18</v>
      </c>
      <c r="M226" s="10" t="str">
        <f t="shared" si="13"/>
        <v/>
      </c>
      <c r="N226" s="10" t="str">
        <f t="shared" si="14"/>
        <v/>
      </c>
      <c r="O226" s="7" t="str">
        <f>IF(ISBLANK(I226),"N/A",IF(((I226-H226)*24)&gt;INDEX(Dim_ServiceType!$E$2:$E$16,MATCH(E226,Dim_ServiceType!$A$2:$A$16,0)),"Yes","No"))</f>
        <v>N/A</v>
      </c>
      <c r="P226" s="7" t="str">
        <f t="shared" si="15"/>
        <v>In Progress</v>
      </c>
      <c r="Q226" s="6"/>
      <c r="R226" s="7"/>
    </row>
    <row r="227" spans="1:18" x14ac:dyDescent="0.35">
      <c r="A227" s="6">
        <v>226</v>
      </c>
      <c r="B227" s="7" t="s">
        <v>423</v>
      </c>
      <c r="C227" s="6">
        <v>15</v>
      </c>
      <c r="D227" s="6">
        <v>7</v>
      </c>
      <c r="E227" s="6">
        <v>13</v>
      </c>
      <c r="F227" s="6">
        <v>6</v>
      </c>
      <c r="G227" s="9">
        <v>45705.891099537002</v>
      </c>
      <c r="H227" s="9">
        <v>45706.057766203703</v>
      </c>
      <c r="I227" s="9">
        <v>45706.711932870399</v>
      </c>
      <c r="J227" s="9">
        <v>45707.711932870399</v>
      </c>
      <c r="K227" s="7" t="s">
        <v>198</v>
      </c>
      <c r="L227" s="10">
        <f t="shared" si="12"/>
        <v>4.0000000008149073</v>
      </c>
      <c r="M227" s="10">
        <f t="shared" si="13"/>
        <v>15.700000000710133</v>
      </c>
      <c r="N227" s="10">
        <f t="shared" si="14"/>
        <v>43.700000001525041</v>
      </c>
      <c r="O227" s="7" t="str">
        <f>IF(ISBLANK(I227),"N/A",IF(((I227-H227)*24)&gt;INDEX(Dim_ServiceType!$E$2:$E$16,MATCH(E227,Dim_ServiceType!$A$2:$A$16,0)),"Yes","No"))</f>
        <v>No</v>
      </c>
      <c r="P227" s="7" t="str">
        <f t="shared" si="15"/>
        <v>Closed</v>
      </c>
      <c r="Q227" s="6">
        <v>5</v>
      </c>
      <c r="R227" s="7" t="s">
        <v>196</v>
      </c>
    </row>
    <row r="228" spans="1:18" x14ac:dyDescent="0.35">
      <c r="A228" s="6">
        <v>227</v>
      </c>
      <c r="B228" s="7" t="s">
        <v>424</v>
      </c>
      <c r="C228" s="6">
        <v>6</v>
      </c>
      <c r="D228" s="6">
        <v>1</v>
      </c>
      <c r="E228" s="6">
        <v>8</v>
      </c>
      <c r="F228" s="6">
        <v>11</v>
      </c>
      <c r="G228" s="9">
        <v>45675.628784722197</v>
      </c>
      <c r="H228" s="9">
        <v>45675.878784722197</v>
      </c>
      <c r="I228" s="9">
        <v>45676.099618055603</v>
      </c>
      <c r="J228" s="9">
        <v>45676.120451388902</v>
      </c>
      <c r="K228" s="7" t="s">
        <v>195</v>
      </c>
      <c r="L228" s="10">
        <f t="shared" si="12"/>
        <v>6</v>
      </c>
      <c r="M228" s="10">
        <f t="shared" si="13"/>
        <v>5.3000000017345883</v>
      </c>
      <c r="N228" s="10">
        <f t="shared" si="14"/>
        <v>11.800000000919681</v>
      </c>
      <c r="O228" s="7" t="str">
        <f>IF(ISBLANK(I228),"N/A",IF(((I228-H228)*24)&gt;INDEX(Dim_ServiceType!$E$2:$E$16,MATCH(E228,Dim_ServiceType!$A$2:$A$16,0)),"Yes","No"))</f>
        <v>No</v>
      </c>
      <c r="P228" s="7" t="str">
        <f t="shared" si="15"/>
        <v>Closed</v>
      </c>
      <c r="Q228" s="6">
        <v>5</v>
      </c>
      <c r="R228" s="7" t="s">
        <v>193</v>
      </c>
    </row>
    <row r="229" spans="1:18" x14ac:dyDescent="0.35">
      <c r="A229" s="6">
        <v>228</v>
      </c>
      <c r="B229" s="7" t="s">
        <v>425</v>
      </c>
      <c r="C229" s="6">
        <v>12</v>
      </c>
      <c r="D229" s="6">
        <v>13</v>
      </c>
      <c r="E229" s="6">
        <v>2</v>
      </c>
      <c r="F229" s="6">
        <v>1</v>
      </c>
      <c r="G229" s="9">
        <v>45722.798634259299</v>
      </c>
      <c r="H229" s="9">
        <v>45723.798634259299</v>
      </c>
      <c r="I229" s="9">
        <v>45724.069467592599</v>
      </c>
      <c r="J229" s="9">
        <v>45724.569467592599</v>
      </c>
      <c r="K229" s="7" t="s">
        <v>200</v>
      </c>
      <c r="L229" s="10">
        <f t="shared" si="12"/>
        <v>24</v>
      </c>
      <c r="M229" s="10">
        <f t="shared" si="13"/>
        <v>6.4999999991850927</v>
      </c>
      <c r="N229" s="10">
        <f t="shared" si="14"/>
        <v>42.499999999185093</v>
      </c>
      <c r="O229" s="7" t="str">
        <f>IF(ISBLANK(I229),"N/A",IF(((I229-H229)*24)&gt;INDEX(Dim_ServiceType!$E$2:$E$16,MATCH(E229,Dim_ServiceType!$A$2:$A$16,0)),"Yes","No"))</f>
        <v>Yes</v>
      </c>
      <c r="P229" s="7" t="str">
        <f t="shared" si="15"/>
        <v>Closed</v>
      </c>
      <c r="Q229" s="6">
        <v>2</v>
      </c>
      <c r="R229" s="7" t="s">
        <v>196</v>
      </c>
    </row>
    <row r="230" spans="1:18" x14ac:dyDescent="0.35">
      <c r="A230" s="6">
        <v>229</v>
      </c>
      <c r="B230" s="7" t="s">
        <v>426</v>
      </c>
      <c r="C230" s="6">
        <v>11</v>
      </c>
      <c r="D230" s="6">
        <v>6</v>
      </c>
      <c r="E230" s="6">
        <v>12</v>
      </c>
      <c r="F230" s="6">
        <v>14</v>
      </c>
      <c r="G230" s="9">
        <v>45984.962314814802</v>
      </c>
      <c r="H230" s="9">
        <v>45985.962314814802</v>
      </c>
      <c r="I230" s="9"/>
      <c r="J230" s="9"/>
      <c r="K230" s="7" t="s">
        <v>207</v>
      </c>
      <c r="L230" s="10">
        <f t="shared" si="12"/>
        <v>24</v>
      </c>
      <c r="M230" s="10" t="str">
        <f t="shared" si="13"/>
        <v/>
      </c>
      <c r="N230" s="10" t="str">
        <f t="shared" si="14"/>
        <v/>
      </c>
      <c r="O230" s="7" t="str">
        <f>IF(ISBLANK(I230),"N/A",IF(((I230-H230)*24)&gt;INDEX(Dim_ServiceType!$E$2:$E$16,MATCH(E230,Dim_ServiceType!$A$2:$A$16,0)),"Yes","No"))</f>
        <v>N/A</v>
      </c>
      <c r="P230" s="7" t="str">
        <f t="shared" si="15"/>
        <v>In Progress</v>
      </c>
      <c r="Q230" s="6"/>
      <c r="R230" s="7"/>
    </row>
    <row r="231" spans="1:18" x14ac:dyDescent="0.35">
      <c r="A231" s="6">
        <v>230</v>
      </c>
      <c r="B231" s="7" t="s">
        <v>427</v>
      </c>
      <c r="C231" s="6">
        <v>9</v>
      </c>
      <c r="D231" s="6">
        <v>12</v>
      </c>
      <c r="E231" s="6">
        <v>2</v>
      </c>
      <c r="F231" s="6">
        <v>8</v>
      </c>
      <c r="G231" s="9">
        <v>45849.100381944401</v>
      </c>
      <c r="H231" s="9">
        <v>45850.100381944401</v>
      </c>
      <c r="I231" s="9">
        <v>45850.237881944398</v>
      </c>
      <c r="J231" s="9">
        <v>45850.487881944398</v>
      </c>
      <c r="K231" s="7" t="s">
        <v>198</v>
      </c>
      <c r="L231" s="10">
        <f t="shared" si="12"/>
        <v>24</v>
      </c>
      <c r="M231" s="10">
        <f t="shared" si="13"/>
        <v>3.2999999999301508</v>
      </c>
      <c r="N231" s="10">
        <f t="shared" si="14"/>
        <v>33.299999999930151</v>
      </c>
      <c r="O231" s="7" t="str">
        <f>IF(ISBLANK(I231),"N/A",IF(((I231-H231)*24)&gt;INDEX(Dim_ServiceType!$E$2:$E$16,MATCH(E231,Dim_ServiceType!$A$2:$A$16,0)),"Yes","No"))</f>
        <v>No</v>
      </c>
      <c r="P231" s="7" t="str">
        <f t="shared" si="15"/>
        <v>Closed</v>
      </c>
      <c r="Q231" s="6">
        <v>4</v>
      </c>
      <c r="R231" s="7" t="s">
        <v>196</v>
      </c>
    </row>
    <row r="232" spans="1:18" x14ac:dyDescent="0.35">
      <c r="A232" s="6">
        <v>231</v>
      </c>
      <c r="B232" s="7" t="s">
        <v>428</v>
      </c>
      <c r="C232" s="6">
        <v>7</v>
      </c>
      <c r="D232" s="6">
        <v>8</v>
      </c>
      <c r="E232" s="6">
        <v>3</v>
      </c>
      <c r="F232" s="6">
        <v>14</v>
      </c>
      <c r="G232" s="9">
        <v>45850.441226851901</v>
      </c>
      <c r="H232" s="9">
        <v>45851.191226851901</v>
      </c>
      <c r="I232" s="9"/>
      <c r="J232" s="9"/>
      <c r="K232" s="7" t="s">
        <v>192</v>
      </c>
      <c r="L232" s="10">
        <f t="shared" si="12"/>
        <v>18</v>
      </c>
      <c r="M232" s="10" t="str">
        <f t="shared" si="13"/>
        <v/>
      </c>
      <c r="N232" s="10" t="str">
        <f t="shared" si="14"/>
        <v/>
      </c>
      <c r="O232" s="7" t="str">
        <f>IF(ISBLANK(I232),"N/A",IF(((I232-H232)*24)&gt;INDEX(Dim_ServiceType!$E$2:$E$16,MATCH(E232,Dim_ServiceType!$A$2:$A$16,0)),"Yes","No"))</f>
        <v>N/A</v>
      </c>
      <c r="P232" s="7" t="str">
        <f t="shared" si="15"/>
        <v>In Progress</v>
      </c>
      <c r="Q232" s="6"/>
      <c r="R232" s="7"/>
    </row>
    <row r="233" spans="1:18" x14ac:dyDescent="0.35">
      <c r="A233" s="6">
        <v>232</v>
      </c>
      <c r="B233" s="7" t="s">
        <v>429</v>
      </c>
      <c r="C233" s="6">
        <v>9</v>
      </c>
      <c r="D233" s="6">
        <v>9</v>
      </c>
      <c r="E233" s="6">
        <v>5</v>
      </c>
      <c r="F233" s="6">
        <v>10</v>
      </c>
      <c r="G233" s="9">
        <v>45851.2671527778</v>
      </c>
      <c r="H233" s="9">
        <v>45851.3921527778</v>
      </c>
      <c r="I233" s="9"/>
      <c r="J233" s="9"/>
      <c r="K233" s="7" t="s">
        <v>207</v>
      </c>
      <c r="L233" s="10">
        <f t="shared" si="12"/>
        <v>3</v>
      </c>
      <c r="M233" s="10" t="str">
        <f t="shared" si="13"/>
        <v/>
      </c>
      <c r="N233" s="10" t="str">
        <f t="shared" si="14"/>
        <v/>
      </c>
      <c r="O233" s="7" t="str">
        <f>IF(ISBLANK(I233),"N/A",IF(((I233-H233)*24)&gt;INDEX(Dim_ServiceType!$E$2:$E$16,MATCH(E233,Dim_ServiceType!$A$2:$A$16,0)),"Yes","No"))</f>
        <v>N/A</v>
      </c>
      <c r="P233" s="7" t="str">
        <f t="shared" si="15"/>
        <v>In Progress</v>
      </c>
      <c r="Q233" s="6"/>
      <c r="R233" s="7"/>
    </row>
    <row r="234" spans="1:18" x14ac:dyDescent="0.35">
      <c r="A234" s="6">
        <v>233</v>
      </c>
      <c r="B234" s="7" t="s">
        <v>430</v>
      </c>
      <c r="C234" s="6">
        <v>5</v>
      </c>
      <c r="D234" s="6">
        <v>1</v>
      </c>
      <c r="E234" s="6">
        <v>10</v>
      </c>
      <c r="F234" s="6">
        <v>6</v>
      </c>
      <c r="G234" s="9">
        <v>45862.322592592602</v>
      </c>
      <c r="H234" s="9">
        <v>45862.572592592602</v>
      </c>
      <c r="I234" s="9">
        <v>45862.776759259301</v>
      </c>
      <c r="J234" s="9">
        <v>45863.276759259301</v>
      </c>
      <c r="K234" s="7" t="s">
        <v>198</v>
      </c>
      <c r="L234" s="10">
        <f t="shared" si="12"/>
        <v>6</v>
      </c>
      <c r="M234" s="10">
        <f t="shared" si="13"/>
        <v>4.9000000007799827</v>
      </c>
      <c r="N234" s="10">
        <f t="shared" si="14"/>
        <v>22.900000000779983</v>
      </c>
      <c r="O234" s="7" t="str">
        <f>IF(ISBLANK(I234),"N/A",IF(((I234-H234)*24)&gt;INDEX(Dim_ServiceType!$E$2:$E$16,MATCH(E234,Dim_ServiceType!$A$2:$A$16,0)),"Yes","No"))</f>
        <v>No</v>
      </c>
      <c r="P234" s="7" t="str">
        <f t="shared" si="15"/>
        <v>Closed</v>
      </c>
      <c r="Q234" s="6">
        <v>5</v>
      </c>
      <c r="R234" s="7" t="s">
        <v>196</v>
      </c>
    </row>
    <row r="235" spans="1:18" x14ac:dyDescent="0.35">
      <c r="A235" s="6">
        <v>234</v>
      </c>
      <c r="B235" s="7" t="s">
        <v>431</v>
      </c>
      <c r="C235" s="6">
        <v>15</v>
      </c>
      <c r="D235" s="6">
        <v>1</v>
      </c>
      <c r="E235" s="6">
        <v>8</v>
      </c>
      <c r="F235" s="6">
        <v>14</v>
      </c>
      <c r="G235" s="9">
        <v>45707.514699074098</v>
      </c>
      <c r="H235" s="9">
        <v>45707.764699074098</v>
      </c>
      <c r="I235" s="9">
        <v>45707.860532407401</v>
      </c>
      <c r="J235" s="9">
        <v>45708.860532407401</v>
      </c>
      <c r="K235" s="7" t="s">
        <v>207</v>
      </c>
      <c r="L235" s="10">
        <f t="shared" si="12"/>
        <v>6</v>
      </c>
      <c r="M235" s="10">
        <f t="shared" si="13"/>
        <v>2.2999999992898665</v>
      </c>
      <c r="N235" s="10">
        <f t="shared" si="14"/>
        <v>32.299999999289867</v>
      </c>
      <c r="O235" s="7" t="str">
        <f>IF(ISBLANK(I235),"N/A",IF(((I235-H235)*24)&gt;INDEX(Dim_ServiceType!$E$2:$E$16,MATCH(E235,Dim_ServiceType!$A$2:$A$16,0)),"Yes","No"))</f>
        <v>No</v>
      </c>
      <c r="P235" s="7" t="str">
        <f t="shared" si="15"/>
        <v>Closed</v>
      </c>
      <c r="Q235" s="6">
        <v>3</v>
      </c>
      <c r="R235" s="7" t="s">
        <v>196</v>
      </c>
    </row>
    <row r="236" spans="1:18" x14ac:dyDescent="0.35">
      <c r="A236" s="6">
        <v>235</v>
      </c>
      <c r="B236" s="7" t="s">
        <v>432</v>
      </c>
      <c r="C236" s="6">
        <v>10</v>
      </c>
      <c r="D236" s="6">
        <v>12</v>
      </c>
      <c r="E236" s="6">
        <v>15</v>
      </c>
      <c r="F236" s="6">
        <v>14</v>
      </c>
      <c r="G236" s="9">
        <v>45887.389108796298</v>
      </c>
      <c r="H236" s="9">
        <v>45887.472442129598</v>
      </c>
      <c r="I236" s="9">
        <v>45888.234942129602</v>
      </c>
      <c r="J236" s="9">
        <v>45889.234942129602</v>
      </c>
      <c r="K236" s="7" t="s">
        <v>200</v>
      </c>
      <c r="L236" s="10">
        <f t="shared" si="12"/>
        <v>1.9999999991850927</v>
      </c>
      <c r="M236" s="10">
        <f t="shared" si="13"/>
        <v>18.300000000104774</v>
      </c>
      <c r="N236" s="10">
        <f t="shared" si="14"/>
        <v>44.299999999289867</v>
      </c>
      <c r="O236" s="7" t="str">
        <f>IF(ISBLANK(I236),"N/A",IF(((I236-H236)*24)&gt;INDEX(Dim_ServiceType!$E$2:$E$16,MATCH(E236,Dim_ServiceType!$A$2:$A$16,0)),"Yes","No"))</f>
        <v>No</v>
      </c>
      <c r="P236" s="7" t="str">
        <f t="shared" si="15"/>
        <v>Closed</v>
      </c>
      <c r="Q236" s="6">
        <v>5</v>
      </c>
      <c r="R236" s="7" t="s">
        <v>196</v>
      </c>
    </row>
    <row r="237" spans="1:18" x14ac:dyDescent="0.35">
      <c r="A237" s="6">
        <v>236</v>
      </c>
      <c r="B237" s="7" t="s">
        <v>433</v>
      </c>
      <c r="C237" s="6">
        <v>4</v>
      </c>
      <c r="D237" s="6">
        <v>4</v>
      </c>
      <c r="E237" s="6">
        <v>3</v>
      </c>
      <c r="F237" s="6">
        <v>1</v>
      </c>
      <c r="G237" s="9">
        <v>45703.716840277797</v>
      </c>
      <c r="H237" s="9">
        <v>45703.758506944498</v>
      </c>
      <c r="I237" s="9">
        <v>45704.687673611101</v>
      </c>
      <c r="J237" s="9">
        <v>45704.7085069444</v>
      </c>
      <c r="K237" s="7" t="s">
        <v>200</v>
      </c>
      <c r="L237" s="10">
        <f t="shared" si="12"/>
        <v>1.0000000008149073</v>
      </c>
      <c r="M237" s="10">
        <f t="shared" si="13"/>
        <v>22.299999998474959</v>
      </c>
      <c r="N237" s="10">
        <f t="shared" si="14"/>
        <v>23.799999998474959</v>
      </c>
      <c r="O237" s="7" t="str">
        <f>IF(ISBLANK(I237),"N/A",IF(((I237-H237)*24)&gt;INDEX(Dim_ServiceType!$E$2:$E$16,MATCH(E237,Dim_ServiceType!$A$2:$A$16,0)),"Yes","No"))</f>
        <v>Yes</v>
      </c>
      <c r="P237" s="7" t="str">
        <f t="shared" si="15"/>
        <v>Closed</v>
      </c>
      <c r="Q237" s="6">
        <v>4</v>
      </c>
      <c r="R237" s="7" t="s">
        <v>196</v>
      </c>
    </row>
    <row r="238" spans="1:18" x14ac:dyDescent="0.35">
      <c r="A238" s="6">
        <v>237</v>
      </c>
      <c r="B238" s="7" t="s">
        <v>434</v>
      </c>
      <c r="C238" s="6">
        <v>12</v>
      </c>
      <c r="D238" s="6">
        <v>5</v>
      </c>
      <c r="E238" s="6">
        <v>2</v>
      </c>
      <c r="F238" s="6">
        <v>14</v>
      </c>
      <c r="G238" s="9">
        <v>45762.620185185202</v>
      </c>
      <c r="H238" s="9">
        <v>45762.641018518501</v>
      </c>
      <c r="I238" s="9">
        <v>45762.732685185198</v>
      </c>
      <c r="J238" s="9">
        <v>45763.232685185198</v>
      </c>
      <c r="K238" s="7" t="s">
        <v>207</v>
      </c>
      <c r="L238" s="10">
        <f t="shared" si="12"/>
        <v>0.49999999918509275</v>
      </c>
      <c r="M238" s="10">
        <f t="shared" si="13"/>
        <v>2.2000000007101335</v>
      </c>
      <c r="N238" s="10">
        <f t="shared" si="14"/>
        <v>14.699999999895226</v>
      </c>
      <c r="O238" s="7" t="str">
        <f>IF(ISBLANK(I238),"N/A",IF(((I238-H238)*24)&gt;INDEX(Dim_ServiceType!$E$2:$E$16,MATCH(E238,Dim_ServiceType!$A$2:$A$16,0)),"Yes","No"))</f>
        <v>No</v>
      </c>
      <c r="P238" s="7" t="str">
        <f t="shared" si="15"/>
        <v>Closed</v>
      </c>
      <c r="Q238" s="6">
        <v>5</v>
      </c>
      <c r="R238" s="7" t="s">
        <v>196</v>
      </c>
    </row>
    <row r="239" spans="1:18" x14ac:dyDescent="0.35">
      <c r="A239" s="6">
        <v>238</v>
      </c>
      <c r="B239" s="7" t="s">
        <v>435</v>
      </c>
      <c r="C239" s="6">
        <v>10</v>
      </c>
      <c r="D239" s="6">
        <v>1</v>
      </c>
      <c r="E239" s="6">
        <v>7</v>
      </c>
      <c r="F239" s="6">
        <v>8</v>
      </c>
      <c r="G239" s="9">
        <v>45821.385173611103</v>
      </c>
      <c r="H239" s="9">
        <v>45821.551840277803</v>
      </c>
      <c r="I239" s="9"/>
      <c r="J239" s="9"/>
      <c r="K239" s="7" t="s">
        <v>192</v>
      </c>
      <c r="L239" s="10">
        <f t="shared" si="12"/>
        <v>4.0000000008149073</v>
      </c>
      <c r="M239" s="10" t="str">
        <f t="shared" si="13"/>
        <v/>
      </c>
      <c r="N239" s="10" t="str">
        <f t="shared" si="14"/>
        <v/>
      </c>
      <c r="O239" s="7" t="str">
        <f>IF(ISBLANK(I239),"N/A",IF(((I239-H239)*24)&gt;INDEX(Dim_ServiceType!$E$2:$E$16,MATCH(E239,Dim_ServiceType!$A$2:$A$16,0)),"Yes","No"))</f>
        <v>N/A</v>
      </c>
      <c r="P239" s="7" t="str">
        <f t="shared" si="15"/>
        <v>In Progress</v>
      </c>
      <c r="Q239" s="6"/>
      <c r="R239" s="7"/>
    </row>
    <row r="240" spans="1:18" x14ac:dyDescent="0.35">
      <c r="A240" s="6">
        <v>239</v>
      </c>
      <c r="B240" s="7" t="s">
        <v>436</v>
      </c>
      <c r="C240" s="6">
        <v>15</v>
      </c>
      <c r="D240" s="6">
        <v>4</v>
      </c>
      <c r="E240" s="6">
        <v>11</v>
      </c>
      <c r="F240" s="6">
        <v>9</v>
      </c>
      <c r="G240" s="9">
        <v>45950.519583333298</v>
      </c>
      <c r="H240" s="9">
        <v>45950.602916666699</v>
      </c>
      <c r="I240" s="9">
        <v>45951.019583333298</v>
      </c>
      <c r="J240" s="9">
        <v>45951.519583333298</v>
      </c>
      <c r="K240" s="7" t="s">
        <v>207</v>
      </c>
      <c r="L240" s="10">
        <f t="shared" si="12"/>
        <v>2.0000000016298145</v>
      </c>
      <c r="M240" s="10">
        <f t="shared" si="13"/>
        <v>9.9999999983701855</v>
      </c>
      <c r="N240" s="10">
        <f t="shared" si="14"/>
        <v>24</v>
      </c>
      <c r="O240" s="7" t="str">
        <f>IF(ISBLANK(I240),"N/A",IF(((I240-H240)*24)&gt;INDEX(Dim_ServiceType!$E$2:$E$16,MATCH(E240,Dim_ServiceType!$A$2:$A$16,0)),"Yes","No"))</f>
        <v>No</v>
      </c>
      <c r="P240" s="7" t="str">
        <f t="shared" si="15"/>
        <v>Closed</v>
      </c>
      <c r="Q240" s="6">
        <v>5</v>
      </c>
      <c r="R240" s="7" t="s">
        <v>196</v>
      </c>
    </row>
    <row r="241" spans="1:18" x14ac:dyDescent="0.35">
      <c r="A241" s="6">
        <v>240</v>
      </c>
      <c r="B241" s="7" t="s">
        <v>437</v>
      </c>
      <c r="C241" s="6">
        <v>3</v>
      </c>
      <c r="D241" s="6">
        <v>8</v>
      </c>
      <c r="E241" s="6">
        <v>8</v>
      </c>
      <c r="F241" s="6">
        <v>11</v>
      </c>
      <c r="G241" s="9">
        <v>45977.241793981499</v>
      </c>
      <c r="H241" s="9">
        <v>45977.991793981499</v>
      </c>
      <c r="I241" s="9">
        <v>45978.245960648201</v>
      </c>
      <c r="J241" s="9">
        <v>45978.412627314799</v>
      </c>
      <c r="K241" s="7" t="s">
        <v>198</v>
      </c>
      <c r="L241" s="10">
        <f t="shared" si="12"/>
        <v>18</v>
      </c>
      <c r="M241" s="10">
        <f t="shared" si="13"/>
        <v>6.1000000008498318</v>
      </c>
      <c r="N241" s="10">
        <f t="shared" si="14"/>
        <v>28.099999999220017</v>
      </c>
      <c r="O241" s="7" t="str">
        <f>IF(ISBLANK(I241),"N/A",IF(((I241-H241)*24)&gt;INDEX(Dim_ServiceType!$E$2:$E$16,MATCH(E241,Dim_ServiceType!$A$2:$A$16,0)),"Yes","No"))</f>
        <v>Yes</v>
      </c>
      <c r="P241" s="7" t="str">
        <f t="shared" si="15"/>
        <v>Closed</v>
      </c>
      <c r="Q241" s="6">
        <v>2</v>
      </c>
      <c r="R241" s="7" t="s">
        <v>196</v>
      </c>
    </row>
    <row r="242" spans="1:18" x14ac:dyDescent="0.35">
      <c r="A242" s="6">
        <v>241</v>
      </c>
      <c r="B242" s="7" t="s">
        <v>438</v>
      </c>
      <c r="C242" s="6">
        <v>6</v>
      </c>
      <c r="D242" s="6">
        <v>10</v>
      </c>
      <c r="E242" s="6">
        <v>6</v>
      </c>
      <c r="F242" s="6">
        <v>15</v>
      </c>
      <c r="G242" s="9">
        <v>45733.608217592599</v>
      </c>
      <c r="H242" s="9">
        <v>45733.733217592599</v>
      </c>
      <c r="I242" s="9"/>
      <c r="J242" s="9"/>
      <c r="K242" s="7" t="s">
        <v>198</v>
      </c>
      <c r="L242" s="10">
        <f t="shared" si="12"/>
        <v>3</v>
      </c>
      <c r="M242" s="10" t="str">
        <f t="shared" si="13"/>
        <v/>
      </c>
      <c r="N242" s="10" t="str">
        <f t="shared" si="14"/>
        <v/>
      </c>
      <c r="O242" s="7" t="str">
        <f>IF(ISBLANK(I242),"N/A",IF(((I242-H242)*24)&gt;INDEX(Dim_ServiceType!$E$2:$E$16,MATCH(E242,Dim_ServiceType!$A$2:$A$16,0)),"Yes","No"))</f>
        <v>N/A</v>
      </c>
      <c r="P242" s="7" t="str">
        <f t="shared" si="15"/>
        <v>In Progress</v>
      </c>
      <c r="Q242" s="6"/>
      <c r="R242" s="7"/>
    </row>
    <row r="243" spans="1:18" x14ac:dyDescent="0.35">
      <c r="A243" s="6">
        <v>242</v>
      </c>
      <c r="B243" s="7" t="s">
        <v>439</v>
      </c>
      <c r="C243" s="6">
        <v>1</v>
      </c>
      <c r="D243" s="6">
        <v>14</v>
      </c>
      <c r="E243" s="6">
        <v>9</v>
      </c>
      <c r="F243" s="6">
        <v>2</v>
      </c>
      <c r="G243" s="9">
        <v>45993.4454513889</v>
      </c>
      <c r="H243" s="9"/>
      <c r="I243" s="9"/>
      <c r="J243" s="9"/>
      <c r="K243" s="7" t="s">
        <v>200</v>
      </c>
      <c r="L243" s="10" t="str">
        <f t="shared" si="12"/>
        <v/>
      </c>
      <c r="M243" s="10" t="str">
        <f t="shared" si="13"/>
        <v/>
      </c>
      <c r="N243" s="10" t="str">
        <f t="shared" si="14"/>
        <v/>
      </c>
      <c r="O243" s="7" t="str">
        <f>IF(ISBLANK(I243),"N/A",IF(((I243-H243)*24)&gt;INDEX(Dim_ServiceType!$E$2:$E$16,MATCH(E243,Dim_ServiceType!$A$2:$A$16,0)),"Yes","No"))</f>
        <v>N/A</v>
      </c>
      <c r="P243" s="7" t="str">
        <f t="shared" si="15"/>
        <v>Open (Unassigned)</v>
      </c>
      <c r="Q243" s="6"/>
      <c r="R243" s="7"/>
    </row>
    <row r="244" spans="1:18" x14ac:dyDescent="0.35">
      <c r="A244" s="6">
        <v>243</v>
      </c>
      <c r="B244" s="7" t="s">
        <v>440</v>
      </c>
      <c r="C244" s="6">
        <v>9</v>
      </c>
      <c r="D244" s="6">
        <v>10</v>
      </c>
      <c r="E244" s="6">
        <v>4</v>
      </c>
      <c r="F244" s="6">
        <v>8</v>
      </c>
      <c r="G244" s="9">
        <v>45841.547650462999</v>
      </c>
      <c r="H244" s="9">
        <v>45842.547650462999</v>
      </c>
      <c r="I244" s="9">
        <v>45843.414317129602</v>
      </c>
      <c r="J244" s="9">
        <v>45843.455983796302</v>
      </c>
      <c r="K244" s="7" t="s">
        <v>198</v>
      </c>
      <c r="L244" s="10">
        <f t="shared" si="12"/>
        <v>24</v>
      </c>
      <c r="M244" s="10">
        <f t="shared" si="13"/>
        <v>20.799999998474959</v>
      </c>
      <c r="N244" s="10">
        <f t="shared" si="14"/>
        <v>45.799999999289867</v>
      </c>
      <c r="O244" s="7" t="str">
        <f>IF(ISBLANK(I244),"N/A",IF(((I244-H244)*24)&gt;INDEX(Dim_ServiceType!$E$2:$E$16,MATCH(E244,Dim_ServiceType!$A$2:$A$16,0)),"Yes","No"))</f>
        <v>No</v>
      </c>
      <c r="P244" s="7" t="str">
        <f t="shared" si="15"/>
        <v>Closed</v>
      </c>
      <c r="Q244" s="6">
        <v>4</v>
      </c>
      <c r="R244" s="7" t="s">
        <v>196</v>
      </c>
    </row>
    <row r="245" spans="1:18" x14ac:dyDescent="0.35">
      <c r="A245" s="6">
        <v>244</v>
      </c>
      <c r="B245" s="7" t="s">
        <v>441</v>
      </c>
      <c r="C245" s="6">
        <v>1</v>
      </c>
      <c r="D245" s="6">
        <v>8</v>
      </c>
      <c r="E245" s="6">
        <v>7</v>
      </c>
      <c r="F245" s="6">
        <v>8</v>
      </c>
      <c r="G245" s="9">
        <v>45727.634201388901</v>
      </c>
      <c r="H245" s="9">
        <v>45727.884201388901</v>
      </c>
      <c r="I245" s="9">
        <v>45728.771701388898</v>
      </c>
      <c r="J245" s="9">
        <v>45728.855034722197</v>
      </c>
      <c r="K245" s="7" t="s">
        <v>195</v>
      </c>
      <c r="L245" s="10">
        <f t="shared" si="12"/>
        <v>6</v>
      </c>
      <c r="M245" s="10">
        <f t="shared" si="13"/>
        <v>21.299999999930151</v>
      </c>
      <c r="N245" s="10">
        <f t="shared" si="14"/>
        <v>29.299999999115244</v>
      </c>
      <c r="O245" s="7" t="str">
        <f>IF(ISBLANK(I245),"N/A",IF(((I245-H245)*24)&gt;INDEX(Dim_ServiceType!$E$2:$E$16,MATCH(E245,Dim_ServiceType!$A$2:$A$16,0)),"Yes","No"))</f>
        <v>No</v>
      </c>
      <c r="P245" s="7" t="str">
        <f t="shared" si="15"/>
        <v>Closed</v>
      </c>
      <c r="Q245" s="6">
        <v>4</v>
      </c>
      <c r="R245" s="7" t="s">
        <v>196</v>
      </c>
    </row>
    <row r="246" spans="1:18" x14ac:dyDescent="0.35">
      <c r="A246" s="6">
        <v>245</v>
      </c>
      <c r="B246" s="7" t="s">
        <v>442</v>
      </c>
      <c r="C246" s="6">
        <v>3</v>
      </c>
      <c r="D246" s="6">
        <v>14</v>
      </c>
      <c r="E246" s="6">
        <v>5</v>
      </c>
      <c r="F246" s="6">
        <v>12</v>
      </c>
      <c r="G246" s="9">
        <v>45804.593912037002</v>
      </c>
      <c r="H246" s="9">
        <v>45804.614745370403</v>
      </c>
      <c r="I246" s="9">
        <v>45804.9397453704</v>
      </c>
      <c r="J246" s="9">
        <v>45804.9605787037</v>
      </c>
      <c r="K246" s="7" t="s">
        <v>192</v>
      </c>
      <c r="L246" s="10">
        <f t="shared" si="12"/>
        <v>0.50000000162981451</v>
      </c>
      <c r="M246" s="10">
        <f t="shared" si="13"/>
        <v>7.7999999999301508</v>
      </c>
      <c r="N246" s="10">
        <f t="shared" si="14"/>
        <v>8.8000000007450581</v>
      </c>
      <c r="O246" s="7" t="str">
        <f>IF(ISBLANK(I246),"N/A",IF(((I246-H246)*24)&gt;INDEX(Dim_ServiceType!$E$2:$E$16,MATCH(E246,Dim_ServiceType!$A$2:$A$16,0)),"Yes","No"))</f>
        <v>No</v>
      </c>
      <c r="P246" s="7" t="str">
        <f t="shared" si="15"/>
        <v>Closed</v>
      </c>
      <c r="Q246" s="6">
        <v>2</v>
      </c>
      <c r="R246" s="7" t="s">
        <v>196</v>
      </c>
    </row>
    <row r="247" spans="1:18" x14ac:dyDescent="0.35">
      <c r="A247" s="6">
        <v>246</v>
      </c>
      <c r="B247" s="7" t="s">
        <v>443</v>
      </c>
      <c r="C247" s="6">
        <v>7</v>
      </c>
      <c r="D247" s="6">
        <v>6</v>
      </c>
      <c r="E247" s="6">
        <v>10</v>
      </c>
      <c r="F247" s="6">
        <v>7</v>
      </c>
      <c r="G247" s="9">
        <v>45881.7281365741</v>
      </c>
      <c r="H247" s="9">
        <v>45881.811469907399</v>
      </c>
      <c r="I247" s="9">
        <v>45882.911469907398</v>
      </c>
      <c r="J247" s="9">
        <v>45883.411469907398</v>
      </c>
      <c r="K247" s="7" t="s">
        <v>195</v>
      </c>
      <c r="L247" s="10">
        <f t="shared" si="12"/>
        <v>1.9999999991850927</v>
      </c>
      <c r="M247" s="10">
        <f t="shared" si="13"/>
        <v>26.399999999965075</v>
      </c>
      <c r="N247" s="10">
        <f t="shared" si="14"/>
        <v>40.399999999150168</v>
      </c>
      <c r="O247" s="7" t="str">
        <f>IF(ISBLANK(I247),"N/A",IF(((I247-H247)*24)&gt;INDEX(Dim_ServiceType!$E$2:$E$16,MATCH(E247,Dim_ServiceType!$A$2:$A$16,0)),"Yes","No"))</f>
        <v>Yes</v>
      </c>
      <c r="P247" s="7" t="str">
        <f t="shared" si="15"/>
        <v>Closed</v>
      </c>
      <c r="Q247" s="6">
        <v>3</v>
      </c>
      <c r="R247" s="7" t="s">
        <v>196</v>
      </c>
    </row>
    <row r="248" spans="1:18" x14ac:dyDescent="0.35">
      <c r="A248" s="6">
        <v>247</v>
      </c>
      <c r="B248" s="7" t="s">
        <v>444</v>
      </c>
      <c r="C248" s="6">
        <v>7</v>
      </c>
      <c r="D248" s="6">
        <v>6</v>
      </c>
      <c r="E248" s="6">
        <v>13</v>
      </c>
      <c r="F248" s="6">
        <v>10</v>
      </c>
      <c r="G248" s="9">
        <v>45942.253182870401</v>
      </c>
      <c r="H248" s="9">
        <v>45942.419849537</v>
      </c>
      <c r="I248" s="9">
        <v>45943.178182870397</v>
      </c>
      <c r="J248" s="9">
        <v>45943.261516203696</v>
      </c>
      <c r="K248" s="7" t="s">
        <v>198</v>
      </c>
      <c r="L248" s="10">
        <f t="shared" si="12"/>
        <v>3.9999999983701855</v>
      </c>
      <c r="M248" s="10">
        <f t="shared" si="13"/>
        <v>18.200000001525041</v>
      </c>
      <c r="N248" s="10">
        <f t="shared" si="14"/>
        <v>24.199999999080319</v>
      </c>
      <c r="O248" s="7" t="str">
        <f>IF(ISBLANK(I248),"N/A",IF(((I248-H248)*24)&gt;INDEX(Dim_ServiceType!$E$2:$E$16,MATCH(E248,Dim_ServiceType!$A$2:$A$16,0)),"Yes","No"))</f>
        <v>No</v>
      </c>
      <c r="P248" s="7" t="str">
        <f t="shared" si="15"/>
        <v>Closed</v>
      </c>
      <c r="Q248" s="6">
        <v>1</v>
      </c>
      <c r="R248" s="7" t="s">
        <v>196</v>
      </c>
    </row>
    <row r="249" spans="1:18" x14ac:dyDescent="0.35">
      <c r="A249" s="6">
        <v>248</v>
      </c>
      <c r="B249" s="7" t="s">
        <v>445</v>
      </c>
      <c r="C249" s="6">
        <v>1</v>
      </c>
      <c r="D249" s="6">
        <v>13</v>
      </c>
      <c r="E249" s="6">
        <v>4</v>
      </c>
      <c r="F249" s="6">
        <v>10</v>
      </c>
      <c r="G249" s="9">
        <v>45674.611770833297</v>
      </c>
      <c r="H249" s="9">
        <v>45674.695104166698</v>
      </c>
      <c r="I249" s="9"/>
      <c r="J249" s="9"/>
      <c r="K249" s="7" t="s">
        <v>207</v>
      </c>
      <c r="L249" s="10">
        <f t="shared" si="12"/>
        <v>2.0000000016298145</v>
      </c>
      <c r="M249" s="10" t="str">
        <f t="shared" si="13"/>
        <v/>
      </c>
      <c r="N249" s="10" t="str">
        <f t="shared" si="14"/>
        <v/>
      </c>
      <c r="O249" s="7" t="str">
        <f>IF(ISBLANK(I249),"N/A",IF(((I249-H249)*24)&gt;INDEX(Dim_ServiceType!$E$2:$E$16,MATCH(E249,Dim_ServiceType!$A$2:$A$16,0)),"Yes","No"))</f>
        <v>N/A</v>
      </c>
      <c r="P249" s="7" t="str">
        <f t="shared" si="15"/>
        <v>In Progress</v>
      </c>
      <c r="Q249" s="6"/>
      <c r="R249" s="7"/>
    </row>
    <row r="250" spans="1:18" x14ac:dyDescent="0.35">
      <c r="A250" s="6">
        <v>249</v>
      </c>
      <c r="B250" s="7" t="s">
        <v>446</v>
      </c>
      <c r="C250" s="6">
        <v>1</v>
      </c>
      <c r="D250" s="6">
        <v>14</v>
      </c>
      <c r="E250" s="6">
        <v>5</v>
      </c>
      <c r="F250" s="6">
        <v>9</v>
      </c>
      <c r="G250" s="9">
        <v>45796.556736111103</v>
      </c>
      <c r="H250" s="9">
        <v>45796.598402777803</v>
      </c>
      <c r="I250" s="9">
        <v>45797.015069444496</v>
      </c>
      <c r="J250" s="9">
        <v>45798.015069444496</v>
      </c>
      <c r="K250" s="7" t="s">
        <v>200</v>
      </c>
      <c r="L250" s="10">
        <f t="shared" si="12"/>
        <v>1.0000000008149073</v>
      </c>
      <c r="M250" s="10">
        <f t="shared" si="13"/>
        <v>10.000000000640284</v>
      </c>
      <c r="N250" s="10">
        <f t="shared" si="14"/>
        <v>35.000000001455192</v>
      </c>
      <c r="O250" s="7" t="str">
        <f>IF(ISBLANK(I250),"N/A",IF(((I250-H250)*24)&gt;INDEX(Dim_ServiceType!$E$2:$E$16,MATCH(E250,Dim_ServiceType!$A$2:$A$16,0)),"Yes","No"))</f>
        <v>No</v>
      </c>
      <c r="P250" s="7" t="str">
        <f t="shared" si="15"/>
        <v>Closed</v>
      </c>
      <c r="Q250" s="6">
        <v>5</v>
      </c>
      <c r="R250" s="7" t="s">
        <v>196</v>
      </c>
    </row>
    <row r="251" spans="1:18" x14ac:dyDescent="0.35">
      <c r="A251" s="6">
        <v>250</v>
      </c>
      <c r="B251" s="7" t="s">
        <v>447</v>
      </c>
      <c r="C251" s="6">
        <v>6</v>
      </c>
      <c r="D251" s="6">
        <v>6</v>
      </c>
      <c r="E251" s="6">
        <v>12</v>
      </c>
      <c r="F251" s="6">
        <v>2</v>
      </c>
      <c r="G251" s="9">
        <v>45764.024270833303</v>
      </c>
      <c r="H251" s="9">
        <v>45764.107604166697</v>
      </c>
      <c r="I251" s="9">
        <v>45767.778437499997</v>
      </c>
      <c r="J251" s="9">
        <v>45767.861770833297</v>
      </c>
      <c r="K251" s="7" t="s">
        <v>195</v>
      </c>
      <c r="L251" s="10">
        <f t="shared" si="12"/>
        <v>2.0000000014551915</v>
      </c>
      <c r="M251" s="10">
        <f t="shared" si="13"/>
        <v>88.099999999220017</v>
      </c>
      <c r="N251" s="10">
        <f t="shared" si="14"/>
        <v>92.099999999860302</v>
      </c>
      <c r="O251" s="7" t="str">
        <f>IF(ISBLANK(I251),"N/A",IF(((I251-H251)*24)&gt;INDEX(Dim_ServiceType!$E$2:$E$16,MATCH(E251,Dim_ServiceType!$A$2:$A$16,0)),"Yes","No"))</f>
        <v>Yes</v>
      </c>
      <c r="P251" s="7" t="str">
        <f t="shared" si="15"/>
        <v>Closed</v>
      </c>
      <c r="Q251" s="6">
        <v>3</v>
      </c>
      <c r="R251" s="7" t="s">
        <v>196</v>
      </c>
    </row>
    <row r="252" spans="1:18" x14ac:dyDescent="0.35">
      <c r="A252" s="6">
        <v>251</v>
      </c>
      <c r="B252" s="7" t="s">
        <v>448</v>
      </c>
      <c r="C252" s="6">
        <v>6</v>
      </c>
      <c r="D252" s="6">
        <v>14</v>
      </c>
      <c r="E252" s="6">
        <v>8</v>
      </c>
      <c r="F252" s="6">
        <v>2</v>
      </c>
      <c r="G252" s="9">
        <v>45984.013900462996</v>
      </c>
      <c r="H252" s="9">
        <v>45984.763900462996</v>
      </c>
      <c r="I252" s="9">
        <v>45984.959733796299</v>
      </c>
      <c r="J252" s="9">
        <v>45985.001400462999</v>
      </c>
      <c r="K252" s="7" t="s">
        <v>200</v>
      </c>
      <c r="L252" s="10">
        <f t="shared" si="12"/>
        <v>18</v>
      </c>
      <c r="M252" s="10">
        <f t="shared" si="13"/>
        <v>4.6999999992549419</v>
      </c>
      <c r="N252" s="10">
        <f t="shared" si="14"/>
        <v>23.700000000069849</v>
      </c>
      <c r="O252" s="7" t="str">
        <f>IF(ISBLANK(I252),"N/A",IF(((I252-H252)*24)&gt;INDEX(Dim_ServiceType!$E$2:$E$16,MATCH(E252,Dim_ServiceType!$A$2:$A$16,0)),"Yes","No"))</f>
        <v>No</v>
      </c>
      <c r="P252" s="7" t="str">
        <f t="shared" si="15"/>
        <v>Closed</v>
      </c>
      <c r="Q252" s="6">
        <v>1</v>
      </c>
      <c r="R252" s="7" t="s">
        <v>196</v>
      </c>
    </row>
    <row r="253" spans="1:18" x14ac:dyDescent="0.35">
      <c r="A253" s="6">
        <v>252</v>
      </c>
      <c r="B253" s="7" t="s">
        <v>449</v>
      </c>
      <c r="C253" s="6">
        <v>4</v>
      </c>
      <c r="D253" s="6">
        <v>8</v>
      </c>
      <c r="E253" s="6">
        <v>1</v>
      </c>
      <c r="F253" s="6">
        <v>4</v>
      </c>
      <c r="G253" s="9">
        <v>45716.591759259303</v>
      </c>
      <c r="H253" s="9">
        <v>45717.341759259303</v>
      </c>
      <c r="I253" s="9">
        <v>45717.833425925899</v>
      </c>
      <c r="J253" s="9">
        <v>45718.0000925926</v>
      </c>
      <c r="K253" s="7" t="s">
        <v>192</v>
      </c>
      <c r="L253" s="10">
        <f t="shared" si="12"/>
        <v>18</v>
      </c>
      <c r="M253" s="10">
        <f t="shared" si="13"/>
        <v>11.799999998300336</v>
      </c>
      <c r="N253" s="10">
        <f t="shared" si="14"/>
        <v>33.799999999115244</v>
      </c>
      <c r="O253" s="7" t="str">
        <f>IF(ISBLANK(I253),"N/A",IF(((I253-H253)*24)&gt;INDEX(Dim_ServiceType!$E$2:$E$16,MATCH(E253,Dim_ServiceType!$A$2:$A$16,0)),"Yes","No"))</f>
        <v>Yes</v>
      </c>
      <c r="P253" s="7" t="str">
        <f t="shared" si="15"/>
        <v>Closed</v>
      </c>
      <c r="Q253" s="6">
        <v>4</v>
      </c>
      <c r="R253" s="7" t="s">
        <v>196</v>
      </c>
    </row>
    <row r="254" spans="1:18" x14ac:dyDescent="0.35">
      <c r="A254" s="6">
        <v>253</v>
      </c>
      <c r="B254" s="7" t="s">
        <v>450</v>
      </c>
      <c r="C254" s="6">
        <v>13</v>
      </c>
      <c r="D254" s="6">
        <v>14</v>
      </c>
      <c r="E254" s="6">
        <v>5</v>
      </c>
      <c r="F254" s="6">
        <v>4</v>
      </c>
      <c r="G254" s="9">
        <v>45960.632337962998</v>
      </c>
      <c r="H254" s="9">
        <v>45960.715671296297</v>
      </c>
      <c r="I254" s="9"/>
      <c r="J254" s="9"/>
      <c r="K254" s="7" t="s">
        <v>200</v>
      </c>
      <c r="L254" s="10">
        <f t="shared" si="12"/>
        <v>1.9999999991850927</v>
      </c>
      <c r="M254" s="10" t="str">
        <f t="shared" si="13"/>
        <v/>
      </c>
      <c r="N254" s="10" t="str">
        <f t="shared" si="14"/>
        <v/>
      </c>
      <c r="O254" s="7" t="str">
        <f>IF(ISBLANK(I254),"N/A",IF(((I254-H254)*24)&gt;INDEX(Dim_ServiceType!$E$2:$E$16,MATCH(E254,Dim_ServiceType!$A$2:$A$16,0)),"Yes","No"))</f>
        <v>N/A</v>
      </c>
      <c r="P254" s="7" t="str">
        <f t="shared" si="15"/>
        <v>In Progress</v>
      </c>
      <c r="Q254" s="6"/>
      <c r="R254" s="7"/>
    </row>
    <row r="255" spans="1:18" x14ac:dyDescent="0.35">
      <c r="A255" s="6">
        <v>254</v>
      </c>
      <c r="B255" s="7" t="s">
        <v>451</v>
      </c>
      <c r="C255" s="6">
        <v>11</v>
      </c>
      <c r="D255" s="6">
        <v>11</v>
      </c>
      <c r="E255" s="6">
        <v>11</v>
      </c>
      <c r="F255" s="6">
        <v>1</v>
      </c>
      <c r="G255" s="9">
        <v>45899.699756944399</v>
      </c>
      <c r="H255" s="9">
        <v>45899.783090277801</v>
      </c>
      <c r="I255" s="9">
        <v>45900.095590277801</v>
      </c>
      <c r="J255" s="9">
        <v>45900.262256944399</v>
      </c>
      <c r="K255" s="7" t="s">
        <v>200</v>
      </c>
      <c r="L255" s="10">
        <f t="shared" si="12"/>
        <v>2.0000000016298145</v>
      </c>
      <c r="M255" s="10">
        <f t="shared" si="13"/>
        <v>7.5</v>
      </c>
      <c r="N255" s="10">
        <f t="shared" si="14"/>
        <v>13.5</v>
      </c>
      <c r="O255" s="7" t="str">
        <f>IF(ISBLANK(I255),"N/A",IF(((I255-H255)*24)&gt;INDEX(Dim_ServiceType!$E$2:$E$16,MATCH(E255,Dim_ServiceType!$A$2:$A$16,0)),"Yes","No"))</f>
        <v>No</v>
      </c>
      <c r="P255" s="7" t="str">
        <f t="shared" si="15"/>
        <v>Closed</v>
      </c>
      <c r="Q255" s="6">
        <v>3</v>
      </c>
      <c r="R255" s="7" t="s">
        <v>196</v>
      </c>
    </row>
    <row r="256" spans="1:18" x14ac:dyDescent="0.35">
      <c r="A256" s="6">
        <v>255</v>
      </c>
      <c r="B256" s="7" t="s">
        <v>452</v>
      </c>
      <c r="C256" s="6">
        <v>10</v>
      </c>
      <c r="D256" s="6">
        <v>11</v>
      </c>
      <c r="E256" s="6">
        <v>3</v>
      </c>
      <c r="F256" s="6">
        <v>4</v>
      </c>
      <c r="G256" s="9">
        <v>45787.275590277801</v>
      </c>
      <c r="H256" s="9">
        <v>45787.775590277801</v>
      </c>
      <c r="I256" s="9">
        <v>45787.938090277799</v>
      </c>
      <c r="J256" s="9">
        <v>45788.021423611099</v>
      </c>
      <c r="K256" s="7" t="s">
        <v>198</v>
      </c>
      <c r="L256" s="10">
        <f t="shared" si="12"/>
        <v>12</v>
      </c>
      <c r="M256" s="10">
        <f t="shared" si="13"/>
        <v>3.8999999999650754</v>
      </c>
      <c r="N256" s="10">
        <f t="shared" si="14"/>
        <v>17.899999999150168</v>
      </c>
      <c r="O256" s="7" t="str">
        <f>IF(ISBLANK(I256),"N/A",IF(((I256-H256)*24)&gt;INDEX(Dim_ServiceType!$E$2:$E$16,MATCH(E256,Dim_ServiceType!$A$2:$A$16,0)),"Yes","No"))</f>
        <v>No</v>
      </c>
      <c r="P256" s="7" t="str">
        <f t="shared" si="15"/>
        <v>Closed</v>
      </c>
      <c r="Q256" s="6">
        <v>1</v>
      </c>
      <c r="R256" s="7" t="s">
        <v>196</v>
      </c>
    </row>
    <row r="257" spans="1:18" x14ac:dyDescent="0.35">
      <c r="A257" s="6">
        <v>256</v>
      </c>
      <c r="B257" s="7" t="s">
        <v>453</v>
      </c>
      <c r="C257" s="6">
        <v>3</v>
      </c>
      <c r="D257" s="6">
        <v>13</v>
      </c>
      <c r="E257" s="6">
        <v>10</v>
      </c>
      <c r="F257" s="6">
        <v>2</v>
      </c>
      <c r="G257" s="9">
        <v>45921.866481481498</v>
      </c>
      <c r="H257" s="9">
        <v>45922.033148148199</v>
      </c>
      <c r="I257" s="9">
        <v>45922.233148148203</v>
      </c>
      <c r="J257" s="9">
        <v>45922.733148148203</v>
      </c>
      <c r="K257" s="7" t="s">
        <v>207</v>
      </c>
      <c r="L257" s="10">
        <f t="shared" si="12"/>
        <v>4.0000000008149073</v>
      </c>
      <c r="M257" s="10">
        <f t="shared" si="13"/>
        <v>4.8000000001047738</v>
      </c>
      <c r="N257" s="10">
        <f t="shared" si="14"/>
        <v>20.800000000919681</v>
      </c>
      <c r="O257" s="7" t="str">
        <f>IF(ISBLANK(I257),"N/A",IF(((I257-H257)*24)&gt;INDEX(Dim_ServiceType!$E$2:$E$16,MATCH(E257,Dim_ServiceType!$A$2:$A$16,0)),"Yes","No"))</f>
        <v>No</v>
      </c>
      <c r="P257" s="7" t="str">
        <f t="shared" si="15"/>
        <v>Closed</v>
      </c>
      <c r="Q257" s="6">
        <v>4</v>
      </c>
      <c r="R257" s="7" t="s">
        <v>196</v>
      </c>
    </row>
    <row r="258" spans="1:18" x14ac:dyDescent="0.35">
      <c r="A258" s="6">
        <v>257</v>
      </c>
      <c r="B258" s="7" t="s">
        <v>454</v>
      </c>
      <c r="C258" s="6">
        <v>15</v>
      </c>
      <c r="D258" s="6">
        <v>2</v>
      </c>
      <c r="E258" s="6">
        <v>12</v>
      </c>
      <c r="F258" s="6">
        <v>12</v>
      </c>
      <c r="G258" s="9">
        <v>45960.140555555598</v>
      </c>
      <c r="H258" s="9">
        <v>45960.223888888897</v>
      </c>
      <c r="I258" s="9"/>
      <c r="J258" s="9"/>
      <c r="K258" s="7" t="s">
        <v>207</v>
      </c>
      <c r="L258" s="10">
        <f t="shared" ref="L258:L321" si="16">IF(ISBLANK(H258),"",(H258-G258)*24)</f>
        <v>1.9999999991850927</v>
      </c>
      <c r="M258" s="10" t="str">
        <f t="shared" ref="M258:M321" si="17">IF(ISBLANK(I258),"",(I258-H258)*24)</f>
        <v/>
      </c>
      <c r="N258" s="10" t="str">
        <f t="shared" ref="N258:N321" si="18">IF(ISBLANK(J258),"",(J258-G258)*24)</f>
        <v/>
      </c>
      <c r="O258" s="7" t="str">
        <f>IF(ISBLANK(I258),"N/A",IF(((I258-H258)*24)&gt;INDEX(Dim_ServiceType!$E$2:$E$16,MATCH(E258,Dim_ServiceType!$A$2:$A$16,0)),"Yes","No"))</f>
        <v>N/A</v>
      </c>
      <c r="P258" s="7" t="str">
        <f t="shared" ref="P258:P321" si="19">IF(ISBLANK(H258),"Open (Unassigned)",IF(ISBLANK(I258),"In Progress",IF(ISBLANK(J258),"Resolved (Pending Closure)","Closed")))</f>
        <v>In Progress</v>
      </c>
      <c r="Q258" s="6"/>
      <c r="R258" s="7"/>
    </row>
    <row r="259" spans="1:18" x14ac:dyDescent="0.35">
      <c r="A259" s="6">
        <v>258</v>
      </c>
      <c r="B259" s="7" t="s">
        <v>455</v>
      </c>
      <c r="C259" s="6">
        <v>2</v>
      </c>
      <c r="D259" s="6">
        <v>9</v>
      </c>
      <c r="E259" s="6">
        <v>15</v>
      </c>
      <c r="F259" s="6">
        <v>1</v>
      </c>
      <c r="G259" s="9">
        <v>45660.709918981498</v>
      </c>
      <c r="H259" s="9">
        <v>45661.709918981498</v>
      </c>
      <c r="I259" s="9">
        <v>45662.597418981502</v>
      </c>
      <c r="J259" s="9">
        <v>45662.764085648101</v>
      </c>
      <c r="K259" s="7" t="s">
        <v>195</v>
      </c>
      <c r="L259" s="10">
        <f t="shared" si="16"/>
        <v>24</v>
      </c>
      <c r="M259" s="10">
        <f t="shared" si="17"/>
        <v>21.300000000104774</v>
      </c>
      <c r="N259" s="10">
        <f t="shared" si="18"/>
        <v>49.299999998474959</v>
      </c>
      <c r="O259" s="7" t="str">
        <f>IF(ISBLANK(I259),"N/A",IF(((I259-H259)*24)&gt;INDEX(Dim_ServiceType!$E$2:$E$16,MATCH(E259,Dim_ServiceType!$A$2:$A$16,0)),"Yes","No"))</f>
        <v>No</v>
      </c>
      <c r="P259" s="7" t="str">
        <f t="shared" si="19"/>
        <v>Closed</v>
      </c>
      <c r="Q259" s="6">
        <v>2</v>
      </c>
      <c r="R259" s="7" t="s">
        <v>196</v>
      </c>
    </row>
    <row r="260" spans="1:18" x14ac:dyDescent="0.35">
      <c r="A260" s="6">
        <v>259</v>
      </c>
      <c r="B260" s="7" t="s">
        <v>456</v>
      </c>
      <c r="C260" s="6">
        <v>3</v>
      </c>
      <c r="D260" s="6">
        <v>9</v>
      </c>
      <c r="E260" s="6">
        <v>7</v>
      </c>
      <c r="F260" s="6">
        <v>10</v>
      </c>
      <c r="G260" s="9">
        <v>45795.175844907397</v>
      </c>
      <c r="H260" s="9">
        <v>45795.509178240703</v>
      </c>
      <c r="I260" s="9">
        <v>45796.709178240701</v>
      </c>
      <c r="J260" s="9">
        <v>45797.209178240701</v>
      </c>
      <c r="K260" s="7" t="s">
        <v>207</v>
      </c>
      <c r="L260" s="10">
        <f t="shared" si="16"/>
        <v>7.9999999993597157</v>
      </c>
      <c r="M260" s="10">
        <f t="shared" si="17"/>
        <v>28.799999999930151</v>
      </c>
      <c r="N260" s="10">
        <f t="shared" si="18"/>
        <v>48.799999999289867</v>
      </c>
      <c r="O260" s="7" t="str">
        <f>IF(ISBLANK(I260),"N/A",IF(((I260-H260)*24)&gt;INDEX(Dim_ServiceType!$E$2:$E$16,MATCH(E260,Dim_ServiceType!$A$2:$A$16,0)),"Yes","No"))</f>
        <v>Yes</v>
      </c>
      <c r="P260" s="7" t="str">
        <f t="shared" si="19"/>
        <v>Closed</v>
      </c>
      <c r="Q260" s="6">
        <v>5</v>
      </c>
      <c r="R260" s="7" t="s">
        <v>196</v>
      </c>
    </row>
    <row r="261" spans="1:18" x14ac:dyDescent="0.35">
      <c r="A261" s="6">
        <v>260</v>
      </c>
      <c r="B261" s="7" t="s">
        <v>457</v>
      </c>
      <c r="C261" s="6">
        <v>5</v>
      </c>
      <c r="D261" s="6">
        <v>8</v>
      </c>
      <c r="E261" s="6">
        <v>13</v>
      </c>
      <c r="F261" s="6">
        <v>7</v>
      </c>
      <c r="G261" s="9">
        <v>45791.079583333303</v>
      </c>
      <c r="H261" s="9">
        <v>45791.829583333303</v>
      </c>
      <c r="I261" s="9">
        <v>45792.912916666697</v>
      </c>
      <c r="J261" s="9">
        <v>45793.412916666697</v>
      </c>
      <c r="K261" s="7" t="s">
        <v>207</v>
      </c>
      <c r="L261" s="10">
        <f t="shared" si="16"/>
        <v>18</v>
      </c>
      <c r="M261" s="10">
        <f t="shared" si="17"/>
        <v>26.000000001455192</v>
      </c>
      <c r="N261" s="10">
        <f t="shared" si="18"/>
        <v>56.000000001455192</v>
      </c>
      <c r="O261" s="7" t="str">
        <f>IF(ISBLANK(I261),"N/A",IF(((I261-H261)*24)&gt;INDEX(Dim_ServiceType!$E$2:$E$16,MATCH(E261,Dim_ServiceType!$A$2:$A$16,0)),"Yes","No"))</f>
        <v>Yes</v>
      </c>
      <c r="P261" s="7" t="str">
        <f t="shared" si="19"/>
        <v>Closed</v>
      </c>
      <c r="Q261" s="6">
        <v>2</v>
      </c>
      <c r="R261" s="7" t="s">
        <v>196</v>
      </c>
    </row>
    <row r="262" spans="1:18" x14ac:dyDescent="0.35">
      <c r="A262" s="6">
        <v>261</v>
      </c>
      <c r="B262" s="7" t="s">
        <v>458</v>
      </c>
      <c r="C262" s="6">
        <v>11</v>
      </c>
      <c r="D262" s="6">
        <v>13</v>
      </c>
      <c r="E262" s="6">
        <v>11</v>
      </c>
      <c r="F262" s="6">
        <v>3</v>
      </c>
      <c r="G262" s="9">
        <v>45795.644340277802</v>
      </c>
      <c r="H262" s="9">
        <v>45795.727673611102</v>
      </c>
      <c r="I262" s="9">
        <v>45796.277673611097</v>
      </c>
      <c r="J262" s="9">
        <v>45796.777673611097</v>
      </c>
      <c r="K262" s="7" t="s">
        <v>200</v>
      </c>
      <c r="L262" s="10">
        <f t="shared" si="16"/>
        <v>1.9999999991850927</v>
      </c>
      <c r="M262" s="10">
        <f t="shared" si="17"/>
        <v>13.199999999895226</v>
      </c>
      <c r="N262" s="10">
        <f t="shared" si="18"/>
        <v>27.199999999080319</v>
      </c>
      <c r="O262" s="7" t="str">
        <f>IF(ISBLANK(I262),"N/A",IF(((I262-H262)*24)&gt;INDEX(Dim_ServiceType!$E$2:$E$16,MATCH(E262,Dim_ServiceType!$A$2:$A$16,0)),"Yes","No"))</f>
        <v>Yes</v>
      </c>
      <c r="P262" s="7" t="str">
        <f t="shared" si="19"/>
        <v>Closed</v>
      </c>
      <c r="Q262" s="6">
        <v>4</v>
      </c>
      <c r="R262" s="7" t="s">
        <v>196</v>
      </c>
    </row>
    <row r="263" spans="1:18" x14ac:dyDescent="0.35">
      <c r="A263" s="6">
        <v>262</v>
      </c>
      <c r="B263" s="7" t="s">
        <v>459</v>
      </c>
      <c r="C263" s="6">
        <v>13</v>
      </c>
      <c r="D263" s="6">
        <v>15</v>
      </c>
      <c r="E263" s="6">
        <v>13</v>
      </c>
      <c r="F263" s="6">
        <v>14</v>
      </c>
      <c r="G263" s="9">
        <v>45811.437789351898</v>
      </c>
      <c r="H263" s="9">
        <v>45811.604456018496</v>
      </c>
      <c r="I263" s="9">
        <v>45812.129456018498</v>
      </c>
      <c r="J263" s="9">
        <v>45812.629456018498</v>
      </c>
      <c r="K263" s="7" t="s">
        <v>195</v>
      </c>
      <c r="L263" s="10">
        <f t="shared" si="16"/>
        <v>3.9999999983701855</v>
      </c>
      <c r="M263" s="10">
        <f t="shared" si="17"/>
        <v>12.600000000034925</v>
      </c>
      <c r="N263" s="10">
        <f t="shared" si="18"/>
        <v>28.59999999840511</v>
      </c>
      <c r="O263" s="7" t="str">
        <f>IF(ISBLANK(I263),"N/A",IF(((I263-H263)*24)&gt;INDEX(Dim_ServiceType!$E$2:$E$16,MATCH(E263,Dim_ServiceType!$A$2:$A$16,0)),"Yes","No"))</f>
        <v>No</v>
      </c>
      <c r="P263" s="7" t="str">
        <f t="shared" si="19"/>
        <v>Closed</v>
      </c>
      <c r="Q263" s="6">
        <v>5</v>
      </c>
      <c r="R263" s="7" t="s">
        <v>196</v>
      </c>
    </row>
    <row r="264" spans="1:18" x14ac:dyDescent="0.35">
      <c r="A264" s="6">
        <v>263</v>
      </c>
      <c r="B264" s="7" t="s">
        <v>460</v>
      </c>
      <c r="C264" s="6">
        <v>7</v>
      </c>
      <c r="D264" s="6">
        <v>2</v>
      </c>
      <c r="E264" s="6">
        <v>2</v>
      </c>
      <c r="F264" s="6">
        <v>2</v>
      </c>
      <c r="G264" s="9">
        <v>45997.066493055601</v>
      </c>
      <c r="H264" s="9"/>
      <c r="I264" s="9"/>
      <c r="J264" s="9"/>
      <c r="K264" s="7" t="s">
        <v>192</v>
      </c>
      <c r="L264" s="10" t="str">
        <f t="shared" si="16"/>
        <v/>
      </c>
      <c r="M264" s="10" t="str">
        <f t="shared" si="17"/>
        <v/>
      </c>
      <c r="N264" s="10" t="str">
        <f t="shared" si="18"/>
        <v/>
      </c>
      <c r="O264" s="7" t="str">
        <f>IF(ISBLANK(I264),"N/A",IF(((I264-H264)*24)&gt;INDEX(Dim_ServiceType!$E$2:$E$16,MATCH(E264,Dim_ServiceType!$A$2:$A$16,0)),"Yes","No"))</f>
        <v>N/A</v>
      </c>
      <c r="P264" s="7" t="str">
        <f t="shared" si="19"/>
        <v>Open (Unassigned)</v>
      </c>
      <c r="Q264" s="6"/>
      <c r="R264" s="7"/>
    </row>
    <row r="265" spans="1:18" x14ac:dyDescent="0.35">
      <c r="A265" s="6">
        <v>264</v>
      </c>
      <c r="B265" s="7" t="s">
        <v>461</v>
      </c>
      <c r="C265" s="6">
        <v>12</v>
      </c>
      <c r="D265" s="6">
        <v>4</v>
      </c>
      <c r="E265" s="6">
        <v>5</v>
      </c>
      <c r="F265" s="6">
        <v>8</v>
      </c>
      <c r="G265" s="9">
        <v>45813.948738425897</v>
      </c>
      <c r="H265" s="9">
        <v>45814.698738425897</v>
      </c>
      <c r="I265" s="9"/>
      <c r="J265" s="9"/>
      <c r="K265" s="7" t="s">
        <v>200</v>
      </c>
      <c r="L265" s="10">
        <f t="shared" si="16"/>
        <v>18</v>
      </c>
      <c r="M265" s="10" t="str">
        <f t="shared" si="17"/>
        <v/>
      </c>
      <c r="N265" s="10" t="str">
        <f t="shared" si="18"/>
        <v/>
      </c>
      <c r="O265" s="7" t="str">
        <f>IF(ISBLANK(I265),"N/A",IF(((I265-H265)*24)&gt;INDEX(Dim_ServiceType!$E$2:$E$16,MATCH(E265,Dim_ServiceType!$A$2:$A$16,0)),"Yes","No"))</f>
        <v>N/A</v>
      </c>
      <c r="P265" s="7" t="str">
        <f t="shared" si="19"/>
        <v>In Progress</v>
      </c>
      <c r="Q265" s="6"/>
      <c r="R265" s="7"/>
    </row>
    <row r="266" spans="1:18" x14ac:dyDescent="0.35">
      <c r="A266" s="6">
        <v>265</v>
      </c>
      <c r="B266" s="7" t="s">
        <v>462</v>
      </c>
      <c r="C266" s="6">
        <v>9</v>
      </c>
      <c r="D266" s="6">
        <v>1</v>
      </c>
      <c r="E266" s="6">
        <v>7</v>
      </c>
      <c r="F266" s="6">
        <v>2</v>
      </c>
      <c r="G266" s="9">
        <v>45782.857604166697</v>
      </c>
      <c r="H266" s="9">
        <v>45783.607604166697</v>
      </c>
      <c r="I266" s="9">
        <v>45784.749270833301</v>
      </c>
      <c r="J266" s="9">
        <v>45784.770104166702</v>
      </c>
      <c r="K266" s="7" t="s">
        <v>192</v>
      </c>
      <c r="L266" s="10">
        <f t="shared" si="16"/>
        <v>18</v>
      </c>
      <c r="M266" s="10">
        <f t="shared" si="17"/>
        <v>27.399999998509884</v>
      </c>
      <c r="N266" s="10">
        <f t="shared" si="18"/>
        <v>45.900000000139698</v>
      </c>
      <c r="O266" s="7" t="str">
        <f>IF(ISBLANK(I266),"N/A",IF(((I266-H266)*24)&gt;INDEX(Dim_ServiceType!$E$2:$E$16,MATCH(E266,Dim_ServiceType!$A$2:$A$16,0)),"Yes","No"))</f>
        <v>Yes</v>
      </c>
      <c r="P266" s="7" t="str">
        <f t="shared" si="19"/>
        <v>Closed</v>
      </c>
      <c r="Q266" s="6">
        <v>2</v>
      </c>
      <c r="R266" s="7" t="s">
        <v>196</v>
      </c>
    </row>
    <row r="267" spans="1:18" x14ac:dyDescent="0.35">
      <c r="A267" s="6">
        <v>266</v>
      </c>
      <c r="B267" s="7" t="s">
        <v>463</v>
      </c>
      <c r="C267" s="6">
        <v>2</v>
      </c>
      <c r="D267" s="6">
        <v>11</v>
      </c>
      <c r="E267" s="6">
        <v>13</v>
      </c>
      <c r="F267" s="6">
        <v>3</v>
      </c>
      <c r="G267" s="9">
        <v>45947.812210648197</v>
      </c>
      <c r="H267" s="9">
        <v>45947.937210648197</v>
      </c>
      <c r="I267" s="9">
        <v>45948.416377314803</v>
      </c>
      <c r="J267" s="9">
        <v>45948.437210648197</v>
      </c>
      <c r="K267" s="7" t="s">
        <v>195</v>
      </c>
      <c r="L267" s="10">
        <f t="shared" si="16"/>
        <v>3</v>
      </c>
      <c r="M267" s="10">
        <f t="shared" si="17"/>
        <v>11.499999998544808</v>
      </c>
      <c r="N267" s="10">
        <f t="shared" si="18"/>
        <v>15</v>
      </c>
      <c r="O267" s="7" t="str">
        <f>IF(ISBLANK(I267),"N/A",IF(((I267-H267)*24)&gt;INDEX(Dim_ServiceType!$E$2:$E$16,MATCH(E267,Dim_ServiceType!$A$2:$A$16,0)),"Yes","No"))</f>
        <v>No</v>
      </c>
      <c r="P267" s="7" t="str">
        <f t="shared" si="19"/>
        <v>Closed</v>
      </c>
      <c r="Q267" s="6">
        <v>1</v>
      </c>
      <c r="R267" s="7" t="s">
        <v>196</v>
      </c>
    </row>
    <row r="268" spans="1:18" x14ac:dyDescent="0.35">
      <c r="A268" s="6">
        <v>267</v>
      </c>
      <c r="B268" s="7" t="s">
        <v>464</v>
      </c>
      <c r="C268" s="6">
        <v>8</v>
      </c>
      <c r="D268" s="6">
        <v>8</v>
      </c>
      <c r="E268" s="6">
        <v>3</v>
      </c>
      <c r="F268" s="6">
        <v>6</v>
      </c>
      <c r="G268" s="9">
        <v>45826.423668981501</v>
      </c>
      <c r="H268" s="9">
        <v>45826.923668981501</v>
      </c>
      <c r="I268" s="9"/>
      <c r="J268" s="9"/>
      <c r="K268" s="7" t="s">
        <v>192</v>
      </c>
      <c r="L268" s="10">
        <f t="shared" si="16"/>
        <v>12</v>
      </c>
      <c r="M268" s="10" t="str">
        <f t="shared" si="17"/>
        <v/>
      </c>
      <c r="N268" s="10" t="str">
        <f t="shared" si="18"/>
        <v/>
      </c>
      <c r="O268" s="7" t="str">
        <f>IF(ISBLANK(I268),"N/A",IF(((I268-H268)*24)&gt;INDEX(Dim_ServiceType!$E$2:$E$16,MATCH(E268,Dim_ServiceType!$A$2:$A$16,0)),"Yes","No"))</f>
        <v>N/A</v>
      </c>
      <c r="P268" s="7" t="str">
        <f t="shared" si="19"/>
        <v>In Progress</v>
      </c>
      <c r="Q268" s="6"/>
      <c r="R268" s="7"/>
    </row>
    <row r="269" spans="1:18" x14ac:dyDescent="0.35">
      <c r="A269" s="6">
        <v>268</v>
      </c>
      <c r="B269" s="7" t="s">
        <v>465</v>
      </c>
      <c r="C269" s="6">
        <v>10</v>
      </c>
      <c r="D269" s="6">
        <v>5</v>
      </c>
      <c r="E269" s="6">
        <v>5</v>
      </c>
      <c r="F269" s="6">
        <v>15</v>
      </c>
      <c r="G269" s="9">
        <v>45735.666574074101</v>
      </c>
      <c r="H269" s="9">
        <v>45735.7082407407</v>
      </c>
      <c r="I269" s="9">
        <v>45735.891574074099</v>
      </c>
      <c r="J269" s="9">
        <v>45735.933240740698</v>
      </c>
      <c r="K269" s="7" t="s">
        <v>200</v>
      </c>
      <c r="L269" s="10">
        <f t="shared" si="16"/>
        <v>0.99999999837018549</v>
      </c>
      <c r="M269" s="10">
        <f t="shared" si="17"/>
        <v>4.4000000015948899</v>
      </c>
      <c r="N269" s="10">
        <f t="shared" si="18"/>
        <v>6.3999999983352609</v>
      </c>
      <c r="O269" s="7" t="str">
        <f>IF(ISBLANK(I269),"N/A",IF(((I269-H269)*24)&gt;INDEX(Dim_ServiceType!$E$2:$E$16,MATCH(E269,Dim_ServiceType!$A$2:$A$16,0)),"Yes","No"))</f>
        <v>No</v>
      </c>
      <c r="P269" s="7" t="str">
        <f t="shared" si="19"/>
        <v>Closed</v>
      </c>
      <c r="Q269" s="6">
        <v>4</v>
      </c>
      <c r="R269" s="7" t="s">
        <v>196</v>
      </c>
    </row>
    <row r="270" spans="1:18" x14ac:dyDescent="0.35">
      <c r="A270" s="6">
        <v>269</v>
      </c>
      <c r="B270" s="7" t="s">
        <v>466</v>
      </c>
      <c r="C270" s="6">
        <v>12</v>
      </c>
      <c r="D270" s="6">
        <v>13</v>
      </c>
      <c r="E270" s="6">
        <v>4</v>
      </c>
      <c r="F270" s="6">
        <v>6</v>
      </c>
      <c r="G270" s="9">
        <v>45810.876099537003</v>
      </c>
      <c r="H270" s="9">
        <v>45811.209432870397</v>
      </c>
      <c r="I270" s="9">
        <v>45814.463599536997</v>
      </c>
      <c r="J270" s="9">
        <v>45814.505266203698</v>
      </c>
      <c r="K270" s="7" t="s">
        <v>198</v>
      </c>
      <c r="L270" s="10">
        <f t="shared" si="16"/>
        <v>8.0000000014551915</v>
      </c>
      <c r="M270" s="10">
        <f t="shared" si="17"/>
        <v>78.09999999840511</v>
      </c>
      <c r="N270" s="10">
        <f t="shared" si="18"/>
        <v>87.100000000675209</v>
      </c>
      <c r="O270" s="7" t="str">
        <f>IF(ISBLANK(I270),"N/A",IF(((I270-H270)*24)&gt;INDEX(Dim_ServiceType!$E$2:$E$16,MATCH(E270,Dim_ServiceType!$A$2:$A$16,0)),"Yes","No"))</f>
        <v>Yes</v>
      </c>
      <c r="P270" s="7" t="str">
        <f t="shared" si="19"/>
        <v>Closed</v>
      </c>
      <c r="Q270" s="6">
        <v>4</v>
      </c>
      <c r="R270" s="7" t="s">
        <v>196</v>
      </c>
    </row>
    <row r="271" spans="1:18" x14ac:dyDescent="0.35">
      <c r="A271" s="6">
        <v>270</v>
      </c>
      <c r="B271" s="7" t="s">
        <v>467</v>
      </c>
      <c r="C271" s="6">
        <v>15</v>
      </c>
      <c r="D271" s="6">
        <v>10</v>
      </c>
      <c r="E271" s="6">
        <v>15</v>
      </c>
      <c r="F271" s="6">
        <v>14</v>
      </c>
      <c r="G271" s="9">
        <v>45667.859432870398</v>
      </c>
      <c r="H271" s="9">
        <v>45667.880266203698</v>
      </c>
      <c r="I271" s="9">
        <v>45668.984432870398</v>
      </c>
      <c r="J271" s="9">
        <v>45669.484432870398</v>
      </c>
      <c r="K271" s="7" t="s">
        <v>207</v>
      </c>
      <c r="L271" s="10">
        <f t="shared" si="16"/>
        <v>0.49999999918509275</v>
      </c>
      <c r="M271" s="10">
        <f t="shared" si="17"/>
        <v>26.500000000814907</v>
      </c>
      <c r="N271" s="10">
        <f t="shared" si="18"/>
        <v>39</v>
      </c>
      <c r="O271" s="7" t="str">
        <f>IF(ISBLANK(I271),"N/A",IF(((I271-H271)*24)&gt;INDEX(Dim_ServiceType!$E$2:$E$16,MATCH(E271,Dim_ServiceType!$A$2:$A$16,0)),"Yes","No"))</f>
        <v>Yes</v>
      </c>
      <c r="P271" s="7" t="str">
        <f t="shared" si="19"/>
        <v>Closed</v>
      </c>
      <c r="Q271" s="6">
        <v>5</v>
      </c>
      <c r="R271" s="7" t="s">
        <v>196</v>
      </c>
    </row>
    <row r="272" spans="1:18" x14ac:dyDescent="0.35">
      <c r="A272" s="6">
        <v>271</v>
      </c>
      <c r="B272" s="7" t="s">
        <v>468</v>
      </c>
      <c r="C272" s="6">
        <v>7</v>
      </c>
      <c r="D272" s="6">
        <v>2</v>
      </c>
      <c r="E272" s="6">
        <v>14</v>
      </c>
      <c r="F272" s="6">
        <v>12</v>
      </c>
      <c r="G272" s="9">
        <v>45710.737743055601</v>
      </c>
      <c r="H272" s="9">
        <v>45711.737743055601</v>
      </c>
      <c r="I272" s="9">
        <v>45711.858576388899</v>
      </c>
      <c r="J272" s="9">
        <v>45711.900243055599</v>
      </c>
      <c r="K272" s="7" t="s">
        <v>192</v>
      </c>
      <c r="L272" s="10">
        <f t="shared" si="16"/>
        <v>24</v>
      </c>
      <c r="M272" s="10">
        <f t="shared" si="17"/>
        <v>2.8999999991501682</v>
      </c>
      <c r="N272" s="10">
        <f t="shared" si="18"/>
        <v>27.899999999965075</v>
      </c>
      <c r="O272" s="7" t="str">
        <f>IF(ISBLANK(I272),"N/A",IF(((I272-H272)*24)&gt;INDEX(Dim_ServiceType!$E$2:$E$16,MATCH(E272,Dim_ServiceType!$A$2:$A$16,0)),"Yes","No"))</f>
        <v>No</v>
      </c>
      <c r="P272" s="7" t="str">
        <f t="shared" si="19"/>
        <v>Closed</v>
      </c>
      <c r="Q272" s="6">
        <v>4</v>
      </c>
      <c r="R272" s="7" t="s">
        <v>196</v>
      </c>
    </row>
    <row r="273" spans="1:18" x14ac:dyDescent="0.35">
      <c r="A273" s="6">
        <v>272</v>
      </c>
      <c r="B273" s="7" t="s">
        <v>469</v>
      </c>
      <c r="C273" s="6">
        <v>6</v>
      </c>
      <c r="D273" s="6">
        <v>5</v>
      </c>
      <c r="E273" s="6">
        <v>1</v>
      </c>
      <c r="F273" s="6">
        <v>13</v>
      </c>
      <c r="G273" s="9">
        <v>45766.0641203704</v>
      </c>
      <c r="H273" s="9">
        <v>45766.5641203704</v>
      </c>
      <c r="I273" s="9">
        <v>45766.705787036997</v>
      </c>
      <c r="J273" s="9">
        <v>45766.726620370398</v>
      </c>
      <c r="K273" s="7" t="s">
        <v>195</v>
      </c>
      <c r="L273" s="10">
        <f t="shared" si="16"/>
        <v>12</v>
      </c>
      <c r="M273" s="10">
        <f t="shared" si="17"/>
        <v>3.3999999983352609</v>
      </c>
      <c r="N273" s="10">
        <f t="shared" si="18"/>
        <v>15.899999999965075</v>
      </c>
      <c r="O273" s="7" t="str">
        <f>IF(ISBLANK(I273),"N/A",IF(((I273-H273)*24)&gt;INDEX(Dim_ServiceType!$E$2:$E$16,MATCH(E273,Dim_ServiceType!$A$2:$A$16,0)),"Yes","No"))</f>
        <v>No</v>
      </c>
      <c r="P273" s="7" t="str">
        <f t="shared" si="19"/>
        <v>Closed</v>
      </c>
      <c r="Q273" s="6">
        <v>2</v>
      </c>
      <c r="R273" s="7" t="s">
        <v>196</v>
      </c>
    </row>
    <row r="274" spans="1:18" x14ac:dyDescent="0.35">
      <c r="A274" s="6">
        <v>273</v>
      </c>
      <c r="B274" s="7" t="s">
        <v>470</v>
      </c>
      <c r="C274" s="6">
        <v>7</v>
      </c>
      <c r="D274" s="6">
        <v>9</v>
      </c>
      <c r="E274" s="6">
        <v>3</v>
      </c>
      <c r="F274" s="6">
        <v>12</v>
      </c>
      <c r="G274" s="9">
        <v>45761.872534722199</v>
      </c>
      <c r="H274" s="9">
        <v>45762.872534722199</v>
      </c>
      <c r="I274" s="9">
        <v>45763.0225347222</v>
      </c>
      <c r="J274" s="9">
        <v>45763.5225347222</v>
      </c>
      <c r="K274" s="7" t="s">
        <v>192</v>
      </c>
      <c r="L274" s="10">
        <f t="shared" si="16"/>
        <v>24</v>
      </c>
      <c r="M274" s="10">
        <f t="shared" si="17"/>
        <v>3.6000000000349246</v>
      </c>
      <c r="N274" s="10">
        <f t="shared" si="18"/>
        <v>39.600000000034925</v>
      </c>
      <c r="O274" s="7" t="str">
        <f>IF(ISBLANK(I274),"N/A",IF(((I274-H274)*24)&gt;INDEX(Dim_ServiceType!$E$2:$E$16,MATCH(E274,Dim_ServiceType!$A$2:$A$16,0)),"Yes","No"))</f>
        <v>No</v>
      </c>
      <c r="P274" s="7" t="str">
        <f t="shared" si="19"/>
        <v>Closed</v>
      </c>
      <c r="Q274" s="6">
        <v>4</v>
      </c>
      <c r="R274" s="7" t="s">
        <v>196</v>
      </c>
    </row>
    <row r="275" spans="1:18" x14ac:dyDescent="0.35">
      <c r="A275" s="6">
        <v>274</v>
      </c>
      <c r="B275" s="7" t="s">
        <v>471</v>
      </c>
      <c r="C275" s="6">
        <v>9</v>
      </c>
      <c r="D275" s="6">
        <v>13</v>
      </c>
      <c r="E275" s="6">
        <v>12</v>
      </c>
      <c r="F275" s="6">
        <v>12</v>
      </c>
      <c r="G275" s="9">
        <v>45821.127152777801</v>
      </c>
      <c r="H275" s="9">
        <v>45821.1688194444</v>
      </c>
      <c r="I275" s="9">
        <v>45822.339652777802</v>
      </c>
      <c r="J275" s="9">
        <v>45822.839652777802</v>
      </c>
      <c r="K275" s="7" t="s">
        <v>200</v>
      </c>
      <c r="L275" s="10">
        <f t="shared" si="16"/>
        <v>0.99999999837018549</v>
      </c>
      <c r="M275" s="10">
        <f t="shared" si="17"/>
        <v>28.100000001664739</v>
      </c>
      <c r="N275" s="10">
        <f t="shared" si="18"/>
        <v>41.100000000034925</v>
      </c>
      <c r="O275" s="7" t="str">
        <f>IF(ISBLANK(I275),"N/A",IF(((I275-H275)*24)&gt;INDEX(Dim_ServiceType!$E$2:$E$16,MATCH(E275,Dim_ServiceType!$A$2:$A$16,0)),"Yes","No"))</f>
        <v>Yes</v>
      </c>
      <c r="P275" s="7" t="str">
        <f t="shared" si="19"/>
        <v>Closed</v>
      </c>
      <c r="Q275" s="6">
        <v>2</v>
      </c>
      <c r="R275" s="7" t="s">
        <v>196</v>
      </c>
    </row>
    <row r="276" spans="1:18" x14ac:dyDescent="0.35">
      <c r="A276" s="6">
        <v>275</v>
      </c>
      <c r="B276" s="7" t="s">
        <v>472</v>
      </c>
      <c r="C276" s="6">
        <v>14</v>
      </c>
      <c r="D276" s="6">
        <v>15</v>
      </c>
      <c r="E276" s="6">
        <v>2</v>
      </c>
      <c r="F276" s="6">
        <v>15</v>
      </c>
      <c r="G276" s="9">
        <v>45694.053148148101</v>
      </c>
      <c r="H276" s="9">
        <v>45694.136481481502</v>
      </c>
      <c r="I276" s="9">
        <v>45694.419814814799</v>
      </c>
      <c r="J276" s="9">
        <v>45694.919814814799</v>
      </c>
      <c r="K276" s="7" t="s">
        <v>207</v>
      </c>
      <c r="L276" s="10">
        <f t="shared" si="16"/>
        <v>2.0000000016298145</v>
      </c>
      <c r="M276" s="10">
        <f t="shared" si="17"/>
        <v>6.7999999991152436</v>
      </c>
      <c r="N276" s="10">
        <f t="shared" si="18"/>
        <v>20.800000000745058</v>
      </c>
      <c r="O276" s="7" t="str">
        <f>IF(ISBLANK(I276),"N/A",IF(((I276-H276)*24)&gt;INDEX(Dim_ServiceType!$E$2:$E$16,MATCH(E276,Dim_ServiceType!$A$2:$A$16,0)),"Yes","No"))</f>
        <v>Yes</v>
      </c>
      <c r="P276" s="7" t="str">
        <f t="shared" si="19"/>
        <v>Closed</v>
      </c>
      <c r="Q276" s="6">
        <v>4</v>
      </c>
      <c r="R276" s="7" t="s">
        <v>196</v>
      </c>
    </row>
    <row r="277" spans="1:18" x14ac:dyDescent="0.35">
      <c r="A277" s="6">
        <v>276</v>
      </c>
      <c r="B277" s="7" t="s">
        <v>473</v>
      </c>
      <c r="C277" s="6">
        <v>3</v>
      </c>
      <c r="D277" s="6">
        <v>9</v>
      </c>
      <c r="E277" s="6">
        <v>15</v>
      </c>
      <c r="F277" s="6">
        <v>12</v>
      </c>
      <c r="G277" s="9">
        <v>45859.253738425898</v>
      </c>
      <c r="H277" s="9">
        <v>45859.753738425898</v>
      </c>
      <c r="I277" s="9"/>
      <c r="J277" s="9"/>
      <c r="K277" s="7" t="s">
        <v>207</v>
      </c>
      <c r="L277" s="10">
        <f t="shared" si="16"/>
        <v>12</v>
      </c>
      <c r="M277" s="10" t="str">
        <f t="shared" si="17"/>
        <v/>
      </c>
      <c r="N277" s="10" t="str">
        <f t="shared" si="18"/>
        <v/>
      </c>
      <c r="O277" s="7" t="str">
        <f>IF(ISBLANK(I277),"N/A",IF(((I277-H277)*24)&gt;INDEX(Dim_ServiceType!$E$2:$E$16,MATCH(E277,Dim_ServiceType!$A$2:$A$16,0)),"Yes","No"))</f>
        <v>N/A</v>
      </c>
      <c r="P277" s="7" t="str">
        <f t="shared" si="19"/>
        <v>In Progress</v>
      </c>
      <c r="Q277" s="6"/>
      <c r="R277" s="7"/>
    </row>
    <row r="278" spans="1:18" x14ac:dyDescent="0.35">
      <c r="A278" s="6">
        <v>277</v>
      </c>
      <c r="B278" s="7" t="s">
        <v>474</v>
      </c>
      <c r="C278" s="6">
        <v>15</v>
      </c>
      <c r="D278" s="6">
        <v>14</v>
      </c>
      <c r="E278" s="6">
        <v>14</v>
      </c>
      <c r="F278" s="6">
        <v>8</v>
      </c>
      <c r="G278" s="9">
        <v>45836.493680555599</v>
      </c>
      <c r="H278" s="9">
        <v>45836.514513888898</v>
      </c>
      <c r="I278" s="9">
        <v>45836.814513888901</v>
      </c>
      <c r="J278" s="9">
        <v>45836.856180555602</v>
      </c>
      <c r="K278" s="7" t="s">
        <v>195</v>
      </c>
      <c r="L278" s="10">
        <f t="shared" si="16"/>
        <v>0.49999999918509275</v>
      </c>
      <c r="M278" s="10">
        <f t="shared" si="17"/>
        <v>7.2000000000698492</v>
      </c>
      <c r="N278" s="10">
        <f t="shared" si="18"/>
        <v>8.7000000000698492</v>
      </c>
      <c r="O278" s="7" t="str">
        <f>IF(ISBLANK(I278),"N/A",IF(((I278-H278)*24)&gt;INDEX(Dim_ServiceType!$E$2:$E$16,MATCH(E278,Dim_ServiceType!$A$2:$A$16,0)),"Yes","No"))</f>
        <v>No</v>
      </c>
      <c r="P278" s="7" t="str">
        <f t="shared" si="19"/>
        <v>Closed</v>
      </c>
      <c r="Q278" s="6">
        <v>2</v>
      </c>
      <c r="R278" s="7" t="s">
        <v>196</v>
      </c>
    </row>
    <row r="279" spans="1:18" x14ac:dyDescent="0.35">
      <c r="A279" s="6">
        <v>278</v>
      </c>
      <c r="B279" s="7" t="s">
        <v>475</v>
      </c>
      <c r="C279" s="6">
        <v>15</v>
      </c>
      <c r="D279" s="6">
        <v>3</v>
      </c>
      <c r="E279" s="6">
        <v>2</v>
      </c>
      <c r="F279" s="6">
        <v>13</v>
      </c>
      <c r="G279" s="9">
        <v>45859.655231481498</v>
      </c>
      <c r="H279" s="9">
        <v>45859.738564814797</v>
      </c>
      <c r="I279" s="9">
        <v>45860.613564814797</v>
      </c>
      <c r="J279" s="9">
        <v>45861.613564814797</v>
      </c>
      <c r="K279" s="7" t="s">
        <v>207</v>
      </c>
      <c r="L279" s="10">
        <f t="shared" si="16"/>
        <v>1.9999999991850927</v>
      </c>
      <c r="M279" s="10">
        <f t="shared" si="17"/>
        <v>21</v>
      </c>
      <c r="N279" s="10">
        <f t="shared" si="18"/>
        <v>46.999999999185093</v>
      </c>
      <c r="O279" s="7" t="str">
        <f>IF(ISBLANK(I279),"N/A",IF(((I279-H279)*24)&gt;INDEX(Dim_ServiceType!$E$2:$E$16,MATCH(E279,Dim_ServiceType!$A$2:$A$16,0)),"Yes","No"))</f>
        <v>Yes</v>
      </c>
      <c r="P279" s="7" t="str">
        <f t="shared" si="19"/>
        <v>Closed</v>
      </c>
      <c r="Q279" s="6">
        <v>4</v>
      </c>
      <c r="R279" s="7" t="s">
        <v>196</v>
      </c>
    </row>
    <row r="280" spans="1:18" x14ac:dyDescent="0.35">
      <c r="A280" s="6">
        <v>279</v>
      </c>
      <c r="B280" s="7" t="s">
        <v>476</v>
      </c>
      <c r="C280" s="6">
        <v>15</v>
      </c>
      <c r="D280" s="6">
        <v>8</v>
      </c>
      <c r="E280" s="6">
        <v>3</v>
      </c>
      <c r="F280" s="6">
        <v>15</v>
      </c>
      <c r="G280" s="9">
        <v>45704.331134259301</v>
      </c>
      <c r="H280" s="9">
        <v>45705.081134259301</v>
      </c>
      <c r="I280" s="9">
        <v>45705.335300925901</v>
      </c>
      <c r="J280" s="9">
        <v>45705.835300925901</v>
      </c>
      <c r="K280" s="7" t="s">
        <v>195</v>
      </c>
      <c r="L280" s="10">
        <f t="shared" si="16"/>
        <v>18</v>
      </c>
      <c r="M280" s="10">
        <f t="shared" si="17"/>
        <v>6.0999999984051101</v>
      </c>
      <c r="N280" s="10">
        <f t="shared" si="18"/>
        <v>36.09999999840511</v>
      </c>
      <c r="O280" s="7" t="str">
        <f>IF(ISBLANK(I280),"N/A",IF(((I280-H280)*24)&gt;INDEX(Dim_ServiceType!$E$2:$E$16,MATCH(E280,Dim_ServiceType!$A$2:$A$16,0)),"Yes","No"))</f>
        <v>No</v>
      </c>
      <c r="P280" s="7" t="str">
        <f t="shared" si="19"/>
        <v>Closed</v>
      </c>
      <c r="Q280" s="6">
        <v>2</v>
      </c>
      <c r="R280" s="7" t="s">
        <v>196</v>
      </c>
    </row>
    <row r="281" spans="1:18" x14ac:dyDescent="0.35">
      <c r="A281" s="6">
        <v>280</v>
      </c>
      <c r="B281" s="7" t="s">
        <v>477</v>
      </c>
      <c r="C281" s="6">
        <v>3</v>
      </c>
      <c r="D281" s="6">
        <v>5</v>
      </c>
      <c r="E281" s="6">
        <v>6</v>
      </c>
      <c r="F281" s="6">
        <v>9</v>
      </c>
      <c r="G281" s="9">
        <v>46005.888032407398</v>
      </c>
      <c r="H281" s="9"/>
      <c r="I281" s="9"/>
      <c r="J281" s="9"/>
      <c r="K281" s="7" t="s">
        <v>198</v>
      </c>
      <c r="L281" s="10" t="str">
        <f t="shared" si="16"/>
        <v/>
      </c>
      <c r="M281" s="10" t="str">
        <f t="shared" si="17"/>
        <v/>
      </c>
      <c r="N281" s="10" t="str">
        <f t="shared" si="18"/>
        <v/>
      </c>
      <c r="O281" s="7" t="str">
        <f>IF(ISBLANK(I281),"N/A",IF(((I281-H281)*24)&gt;INDEX(Dim_ServiceType!$E$2:$E$16,MATCH(E281,Dim_ServiceType!$A$2:$A$16,0)),"Yes","No"))</f>
        <v>N/A</v>
      </c>
      <c r="P281" s="7" t="str">
        <f t="shared" si="19"/>
        <v>Open (Unassigned)</v>
      </c>
      <c r="Q281" s="6"/>
      <c r="R281" s="7"/>
    </row>
    <row r="282" spans="1:18" x14ac:dyDescent="0.35">
      <c r="A282" s="6">
        <v>281</v>
      </c>
      <c r="B282" s="7" t="s">
        <v>478</v>
      </c>
      <c r="C282" s="6">
        <v>8</v>
      </c>
      <c r="D282" s="6">
        <v>15</v>
      </c>
      <c r="E282" s="6">
        <v>15</v>
      </c>
      <c r="F282" s="6">
        <v>11</v>
      </c>
      <c r="G282" s="9">
        <v>45812.093182870398</v>
      </c>
      <c r="H282" s="9">
        <v>45812.114016203697</v>
      </c>
      <c r="I282" s="9">
        <v>45812.968182870398</v>
      </c>
      <c r="J282" s="9">
        <v>45812.989016203697</v>
      </c>
      <c r="K282" s="7" t="s">
        <v>195</v>
      </c>
      <c r="L282" s="10">
        <f t="shared" si="16"/>
        <v>0.49999999918509275</v>
      </c>
      <c r="M282" s="10">
        <f t="shared" si="17"/>
        <v>20.500000000814907</v>
      </c>
      <c r="N282" s="10">
        <f t="shared" si="18"/>
        <v>21.499999999185093</v>
      </c>
      <c r="O282" s="7" t="str">
        <f>IF(ISBLANK(I282),"N/A",IF(((I282-H282)*24)&gt;INDEX(Dim_ServiceType!$E$2:$E$16,MATCH(E282,Dim_ServiceType!$A$2:$A$16,0)),"Yes","No"))</f>
        <v>No</v>
      </c>
      <c r="P282" s="7" t="str">
        <f t="shared" si="19"/>
        <v>Closed</v>
      </c>
      <c r="Q282" s="6">
        <v>1</v>
      </c>
      <c r="R282" s="7" t="s">
        <v>196</v>
      </c>
    </row>
    <row r="283" spans="1:18" x14ac:dyDescent="0.35">
      <c r="A283" s="6">
        <v>282</v>
      </c>
      <c r="B283" s="7" t="s">
        <v>479</v>
      </c>
      <c r="C283" s="6">
        <v>15</v>
      </c>
      <c r="D283" s="6">
        <v>11</v>
      </c>
      <c r="E283" s="6">
        <v>14</v>
      </c>
      <c r="F283" s="6">
        <v>2</v>
      </c>
      <c r="G283" s="9">
        <v>45917.118796296301</v>
      </c>
      <c r="H283" s="9">
        <v>45917.202129629601</v>
      </c>
      <c r="I283" s="9">
        <v>45917.339629629598</v>
      </c>
      <c r="J283" s="9">
        <v>45918.339629629598</v>
      </c>
      <c r="K283" s="7" t="s">
        <v>192</v>
      </c>
      <c r="L283" s="10">
        <f t="shared" si="16"/>
        <v>1.9999999991850927</v>
      </c>
      <c r="M283" s="10">
        <f t="shared" si="17"/>
        <v>3.2999999999301508</v>
      </c>
      <c r="N283" s="10">
        <f t="shared" si="18"/>
        <v>29.299999999115244</v>
      </c>
      <c r="O283" s="7" t="str">
        <f>IF(ISBLANK(I283),"N/A",IF(((I283-H283)*24)&gt;INDEX(Dim_ServiceType!$E$2:$E$16,MATCH(E283,Dim_ServiceType!$A$2:$A$16,0)),"Yes","No"))</f>
        <v>No</v>
      </c>
      <c r="P283" s="7" t="str">
        <f t="shared" si="19"/>
        <v>Closed</v>
      </c>
      <c r="Q283" s="6">
        <v>4</v>
      </c>
      <c r="R283" s="7" t="s">
        <v>196</v>
      </c>
    </row>
    <row r="284" spans="1:18" x14ac:dyDescent="0.35">
      <c r="A284" s="6">
        <v>283</v>
      </c>
      <c r="B284" s="7" t="s">
        <v>480</v>
      </c>
      <c r="C284" s="6">
        <v>10</v>
      </c>
      <c r="D284" s="6">
        <v>10</v>
      </c>
      <c r="E284" s="6">
        <v>6</v>
      </c>
      <c r="F284" s="6">
        <v>15</v>
      </c>
      <c r="G284" s="9">
        <v>45828.6710648148</v>
      </c>
      <c r="H284" s="9">
        <v>45829.004398148201</v>
      </c>
      <c r="I284" s="9">
        <v>45830.612731481502</v>
      </c>
      <c r="J284" s="9">
        <v>45830.633564814802</v>
      </c>
      <c r="K284" s="7" t="s">
        <v>207</v>
      </c>
      <c r="L284" s="10">
        <f t="shared" si="16"/>
        <v>8.0000000016298145</v>
      </c>
      <c r="M284" s="10">
        <f t="shared" si="17"/>
        <v>38.599999999220017</v>
      </c>
      <c r="N284" s="10">
        <f t="shared" si="18"/>
        <v>47.100000000034925</v>
      </c>
      <c r="O284" s="7" t="str">
        <f>IF(ISBLANK(I284),"N/A",IF(((I284-H284)*24)&gt;INDEX(Dim_ServiceType!$E$2:$E$16,MATCH(E284,Dim_ServiceType!$A$2:$A$16,0)),"Yes","No"))</f>
        <v>No</v>
      </c>
      <c r="P284" s="7" t="str">
        <f t="shared" si="19"/>
        <v>Closed</v>
      </c>
      <c r="Q284" s="6">
        <v>5</v>
      </c>
      <c r="R284" s="7" t="s">
        <v>196</v>
      </c>
    </row>
    <row r="285" spans="1:18" x14ac:dyDescent="0.35">
      <c r="A285" s="6">
        <v>284</v>
      </c>
      <c r="B285" s="7" t="s">
        <v>481</v>
      </c>
      <c r="C285" s="6">
        <v>8</v>
      </c>
      <c r="D285" s="6">
        <v>2</v>
      </c>
      <c r="E285" s="6">
        <v>12</v>
      </c>
      <c r="F285" s="6">
        <v>9</v>
      </c>
      <c r="G285" s="9">
        <v>45879.4766550926</v>
      </c>
      <c r="H285" s="9">
        <v>45879.6433217593</v>
      </c>
      <c r="I285" s="9">
        <v>45882.880821759303</v>
      </c>
      <c r="J285" s="9">
        <v>45882.964155092603</v>
      </c>
      <c r="K285" s="7" t="s">
        <v>200</v>
      </c>
      <c r="L285" s="10">
        <f t="shared" si="16"/>
        <v>4.0000000008149073</v>
      </c>
      <c r="M285" s="10">
        <f t="shared" si="17"/>
        <v>77.700000000069849</v>
      </c>
      <c r="N285" s="10">
        <f t="shared" si="18"/>
        <v>83.700000000069849</v>
      </c>
      <c r="O285" s="7" t="str">
        <f>IF(ISBLANK(I285),"N/A",IF(((I285-H285)*24)&gt;INDEX(Dim_ServiceType!$E$2:$E$16,MATCH(E285,Dim_ServiceType!$A$2:$A$16,0)),"Yes","No"))</f>
        <v>Yes</v>
      </c>
      <c r="P285" s="7" t="str">
        <f t="shared" si="19"/>
        <v>Closed</v>
      </c>
      <c r="Q285" s="6">
        <v>2</v>
      </c>
      <c r="R285" s="7" t="s">
        <v>196</v>
      </c>
    </row>
    <row r="286" spans="1:18" x14ac:dyDescent="0.35">
      <c r="A286" s="6">
        <v>285</v>
      </c>
      <c r="B286" s="7" t="s">
        <v>482</v>
      </c>
      <c r="C286" s="6">
        <v>1</v>
      </c>
      <c r="D286" s="6">
        <v>10</v>
      </c>
      <c r="E286" s="6">
        <v>8</v>
      </c>
      <c r="F286" s="6">
        <v>14</v>
      </c>
      <c r="G286" s="9">
        <v>45946.8039236111</v>
      </c>
      <c r="H286" s="9">
        <v>45946.845590277801</v>
      </c>
      <c r="I286" s="9">
        <v>45946.941423611097</v>
      </c>
      <c r="J286" s="9">
        <v>45946.962256944498</v>
      </c>
      <c r="K286" s="7" t="s">
        <v>198</v>
      </c>
      <c r="L286" s="10">
        <f t="shared" si="16"/>
        <v>1.0000000008149073</v>
      </c>
      <c r="M286" s="10">
        <f t="shared" si="17"/>
        <v>2.2999999991152436</v>
      </c>
      <c r="N286" s="10">
        <f t="shared" si="18"/>
        <v>3.8000000015599653</v>
      </c>
      <c r="O286" s="7" t="str">
        <f>IF(ISBLANK(I286),"N/A",IF(((I286-H286)*24)&gt;INDEX(Dim_ServiceType!$E$2:$E$16,MATCH(E286,Dim_ServiceType!$A$2:$A$16,0)),"Yes","No"))</f>
        <v>No</v>
      </c>
      <c r="P286" s="7" t="str">
        <f t="shared" si="19"/>
        <v>Closed</v>
      </c>
      <c r="Q286" s="6">
        <v>1</v>
      </c>
      <c r="R286" s="7" t="s">
        <v>196</v>
      </c>
    </row>
    <row r="287" spans="1:18" x14ac:dyDescent="0.35">
      <c r="A287" s="6">
        <v>286</v>
      </c>
      <c r="B287" s="7" t="s">
        <v>483</v>
      </c>
      <c r="C287" s="6">
        <v>15</v>
      </c>
      <c r="D287" s="6">
        <v>1</v>
      </c>
      <c r="E287" s="6">
        <v>14</v>
      </c>
      <c r="F287" s="6">
        <v>9</v>
      </c>
      <c r="G287" s="9">
        <v>45990.265914351898</v>
      </c>
      <c r="H287" s="9">
        <v>45990.765914351898</v>
      </c>
      <c r="I287" s="9">
        <v>45991.332581018498</v>
      </c>
      <c r="J287" s="9">
        <v>45992.332581018498</v>
      </c>
      <c r="K287" s="7" t="s">
        <v>207</v>
      </c>
      <c r="L287" s="10">
        <f t="shared" si="16"/>
        <v>12</v>
      </c>
      <c r="M287" s="10">
        <f t="shared" si="17"/>
        <v>13.59999999840511</v>
      </c>
      <c r="N287" s="10">
        <f t="shared" si="18"/>
        <v>49.59999999840511</v>
      </c>
      <c r="O287" s="7" t="str">
        <f>IF(ISBLANK(I287),"N/A",IF(((I287-H287)*24)&gt;INDEX(Dim_ServiceType!$E$2:$E$16,MATCH(E287,Dim_ServiceType!$A$2:$A$16,0)),"Yes","No"))</f>
        <v>Yes</v>
      </c>
      <c r="P287" s="7" t="str">
        <f t="shared" si="19"/>
        <v>Closed</v>
      </c>
      <c r="Q287" s="6">
        <v>2</v>
      </c>
      <c r="R287" s="7" t="s">
        <v>196</v>
      </c>
    </row>
    <row r="288" spans="1:18" x14ac:dyDescent="0.35">
      <c r="A288" s="6">
        <v>287</v>
      </c>
      <c r="B288" s="7" t="s">
        <v>484</v>
      </c>
      <c r="C288" s="6">
        <v>7</v>
      </c>
      <c r="D288" s="6">
        <v>14</v>
      </c>
      <c r="E288" s="6">
        <v>2</v>
      </c>
      <c r="F288" s="6">
        <v>12</v>
      </c>
      <c r="G288" s="9">
        <v>45917.8652546296</v>
      </c>
      <c r="H288" s="9">
        <v>45917.886087963001</v>
      </c>
      <c r="I288" s="9">
        <v>45918.027754629598</v>
      </c>
      <c r="J288" s="9">
        <v>45918.111087963</v>
      </c>
      <c r="K288" s="7" t="s">
        <v>192</v>
      </c>
      <c r="L288" s="10">
        <f t="shared" si="16"/>
        <v>0.50000000162981451</v>
      </c>
      <c r="M288" s="10">
        <f t="shared" si="17"/>
        <v>3.3999999983352609</v>
      </c>
      <c r="N288" s="10">
        <f t="shared" si="18"/>
        <v>5.9000000015948899</v>
      </c>
      <c r="O288" s="7" t="str">
        <f>IF(ISBLANK(I288),"N/A",IF(((I288-H288)*24)&gt;INDEX(Dim_ServiceType!$E$2:$E$16,MATCH(E288,Dim_ServiceType!$A$2:$A$16,0)),"Yes","No"))</f>
        <v>No</v>
      </c>
      <c r="P288" s="7" t="str">
        <f t="shared" si="19"/>
        <v>Closed</v>
      </c>
      <c r="Q288" s="6">
        <v>4</v>
      </c>
      <c r="R288" s="7" t="s">
        <v>196</v>
      </c>
    </row>
    <row r="289" spans="1:18" x14ac:dyDescent="0.35">
      <c r="A289" s="6">
        <v>288</v>
      </c>
      <c r="B289" s="7" t="s">
        <v>485</v>
      </c>
      <c r="C289" s="6">
        <v>13</v>
      </c>
      <c r="D289" s="6">
        <v>6</v>
      </c>
      <c r="E289" s="6">
        <v>12</v>
      </c>
      <c r="F289" s="6">
        <v>15</v>
      </c>
      <c r="G289" s="9">
        <v>45678.0480902778</v>
      </c>
      <c r="H289" s="9">
        <v>45678.2980902778</v>
      </c>
      <c r="I289" s="9">
        <v>45679.4230902778</v>
      </c>
      <c r="J289" s="9">
        <v>45679.464756944399</v>
      </c>
      <c r="K289" s="7" t="s">
        <v>198</v>
      </c>
      <c r="L289" s="10">
        <f t="shared" si="16"/>
        <v>6</v>
      </c>
      <c r="M289" s="10">
        <f t="shared" si="17"/>
        <v>27</v>
      </c>
      <c r="N289" s="10">
        <f t="shared" si="18"/>
        <v>33.999999998370185</v>
      </c>
      <c r="O289" s="7" t="str">
        <f>IF(ISBLANK(I289),"N/A",IF(((I289-H289)*24)&gt;INDEX(Dim_ServiceType!$E$2:$E$16,MATCH(E289,Dim_ServiceType!$A$2:$A$16,0)),"Yes","No"))</f>
        <v>Yes</v>
      </c>
      <c r="P289" s="7" t="str">
        <f t="shared" si="19"/>
        <v>Closed</v>
      </c>
      <c r="Q289" s="6">
        <v>3</v>
      </c>
      <c r="R289" s="7" t="s">
        <v>196</v>
      </c>
    </row>
    <row r="290" spans="1:18" x14ac:dyDescent="0.35">
      <c r="A290" s="6">
        <v>289</v>
      </c>
      <c r="B290" s="7" t="s">
        <v>486</v>
      </c>
      <c r="C290" s="6">
        <v>1</v>
      </c>
      <c r="D290" s="6">
        <v>3</v>
      </c>
      <c r="E290" s="6">
        <v>6</v>
      </c>
      <c r="F290" s="6">
        <v>9</v>
      </c>
      <c r="G290" s="9">
        <v>45704.057719907403</v>
      </c>
      <c r="H290" s="9">
        <v>45705.057719907403</v>
      </c>
      <c r="I290" s="9">
        <v>45707.503553240698</v>
      </c>
      <c r="J290" s="9">
        <v>45707.524386574099</v>
      </c>
      <c r="K290" s="7" t="s">
        <v>200</v>
      </c>
      <c r="L290" s="10">
        <f t="shared" si="16"/>
        <v>24</v>
      </c>
      <c r="M290" s="10">
        <f t="shared" si="17"/>
        <v>58.699999999080319</v>
      </c>
      <c r="N290" s="10">
        <f t="shared" si="18"/>
        <v>83.200000000710133</v>
      </c>
      <c r="O290" s="7" t="str">
        <f>IF(ISBLANK(I290),"N/A",IF(((I290-H290)*24)&gt;INDEX(Dim_ServiceType!$E$2:$E$16,MATCH(E290,Dim_ServiceType!$A$2:$A$16,0)),"Yes","No"))</f>
        <v>Yes</v>
      </c>
      <c r="P290" s="7" t="str">
        <f t="shared" si="19"/>
        <v>Closed</v>
      </c>
      <c r="Q290" s="6">
        <v>4</v>
      </c>
      <c r="R290" s="7" t="s">
        <v>196</v>
      </c>
    </row>
    <row r="291" spans="1:18" x14ac:dyDescent="0.35">
      <c r="A291" s="6">
        <v>290</v>
      </c>
      <c r="B291" s="7" t="s">
        <v>487</v>
      </c>
      <c r="C291" s="6">
        <v>13</v>
      </c>
      <c r="D291" s="6">
        <v>7</v>
      </c>
      <c r="E291" s="6">
        <v>11</v>
      </c>
      <c r="F291" s="6">
        <v>1</v>
      </c>
      <c r="G291" s="9">
        <v>45939.191250000003</v>
      </c>
      <c r="H291" s="9">
        <v>45939.524583333303</v>
      </c>
      <c r="I291" s="9">
        <v>45940.082916666703</v>
      </c>
      <c r="J291" s="9">
        <v>45940.103750000002</v>
      </c>
      <c r="K291" s="7" t="s">
        <v>195</v>
      </c>
      <c r="L291" s="10">
        <f t="shared" si="16"/>
        <v>7.9999999991850927</v>
      </c>
      <c r="M291" s="10">
        <f t="shared" si="17"/>
        <v>13.40000000159489</v>
      </c>
      <c r="N291" s="10">
        <f t="shared" si="18"/>
        <v>21.899999999965075</v>
      </c>
      <c r="O291" s="7" t="str">
        <f>IF(ISBLANK(I291),"N/A",IF(((I291-H291)*24)&gt;INDEX(Dim_ServiceType!$E$2:$E$16,MATCH(E291,Dim_ServiceType!$A$2:$A$16,0)),"Yes","No"))</f>
        <v>Yes</v>
      </c>
      <c r="P291" s="7" t="str">
        <f t="shared" si="19"/>
        <v>Closed</v>
      </c>
      <c r="Q291" s="6">
        <v>1</v>
      </c>
      <c r="R291" s="7" t="s">
        <v>196</v>
      </c>
    </row>
    <row r="292" spans="1:18" x14ac:dyDescent="0.35">
      <c r="A292" s="6">
        <v>291</v>
      </c>
      <c r="B292" s="7" t="s">
        <v>488</v>
      </c>
      <c r="C292" s="6">
        <v>14</v>
      </c>
      <c r="D292" s="6">
        <v>5</v>
      </c>
      <c r="E292" s="6">
        <v>13</v>
      </c>
      <c r="F292" s="6">
        <v>7</v>
      </c>
      <c r="G292" s="9">
        <v>45735.746458333299</v>
      </c>
      <c r="H292" s="9">
        <v>45735.8297916667</v>
      </c>
      <c r="I292" s="9">
        <v>45736.200624999998</v>
      </c>
      <c r="J292" s="9">
        <v>45736.283958333297</v>
      </c>
      <c r="K292" s="7" t="s">
        <v>207</v>
      </c>
      <c r="L292" s="10">
        <f t="shared" si="16"/>
        <v>2.0000000016298145</v>
      </c>
      <c r="M292" s="10">
        <f t="shared" si="17"/>
        <v>8.8999999991501682</v>
      </c>
      <c r="N292" s="10">
        <f t="shared" si="18"/>
        <v>12.899999999965075</v>
      </c>
      <c r="O292" s="7" t="str">
        <f>IF(ISBLANK(I292),"N/A",IF(((I292-H292)*24)&gt;INDEX(Dim_ServiceType!$E$2:$E$16,MATCH(E292,Dim_ServiceType!$A$2:$A$16,0)),"Yes","No"))</f>
        <v>No</v>
      </c>
      <c r="P292" s="7" t="str">
        <f t="shared" si="19"/>
        <v>Closed</v>
      </c>
      <c r="Q292" s="6">
        <v>2</v>
      </c>
      <c r="R292" s="7" t="s">
        <v>196</v>
      </c>
    </row>
    <row r="293" spans="1:18" x14ac:dyDescent="0.35">
      <c r="A293" s="6">
        <v>292</v>
      </c>
      <c r="B293" s="7" t="s">
        <v>489</v>
      </c>
      <c r="C293" s="6">
        <v>3</v>
      </c>
      <c r="D293" s="6">
        <v>4</v>
      </c>
      <c r="E293" s="6">
        <v>7</v>
      </c>
      <c r="F293" s="6">
        <v>1</v>
      </c>
      <c r="G293" s="9">
        <v>45983.027384259301</v>
      </c>
      <c r="H293" s="9">
        <v>45983.527384259301</v>
      </c>
      <c r="I293" s="9">
        <v>45984.419050925899</v>
      </c>
      <c r="J293" s="9">
        <v>45984.460717592599</v>
      </c>
      <c r="K293" s="7" t="s">
        <v>207</v>
      </c>
      <c r="L293" s="10">
        <f t="shared" si="16"/>
        <v>12</v>
      </c>
      <c r="M293" s="10">
        <f t="shared" si="17"/>
        <v>21.399999998335261</v>
      </c>
      <c r="N293" s="10">
        <f t="shared" si="18"/>
        <v>34.399999999150168</v>
      </c>
      <c r="O293" s="7" t="str">
        <f>IF(ISBLANK(I293),"N/A",IF(((I293-H293)*24)&gt;INDEX(Dim_ServiceType!$E$2:$E$16,MATCH(E293,Dim_ServiceType!$A$2:$A$16,0)),"Yes","No"))</f>
        <v>No</v>
      </c>
      <c r="P293" s="7" t="str">
        <f t="shared" si="19"/>
        <v>Closed</v>
      </c>
      <c r="Q293" s="6">
        <v>5</v>
      </c>
      <c r="R293" s="7" t="s">
        <v>196</v>
      </c>
    </row>
    <row r="294" spans="1:18" x14ac:dyDescent="0.35">
      <c r="A294" s="6">
        <v>293</v>
      </c>
      <c r="B294" s="7" t="s">
        <v>490</v>
      </c>
      <c r="C294" s="6">
        <v>8</v>
      </c>
      <c r="D294" s="6">
        <v>6</v>
      </c>
      <c r="E294" s="6">
        <v>15</v>
      </c>
      <c r="F294" s="6">
        <v>7</v>
      </c>
      <c r="G294" s="9">
        <v>45899.959583333301</v>
      </c>
      <c r="H294" s="9">
        <v>45899.980416666702</v>
      </c>
      <c r="I294" s="9">
        <v>45901.005416666703</v>
      </c>
      <c r="J294" s="9">
        <v>45901.088750000003</v>
      </c>
      <c r="K294" s="7" t="s">
        <v>192</v>
      </c>
      <c r="L294" s="10">
        <f t="shared" si="16"/>
        <v>0.50000000162981451</v>
      </c>
      <c r="M294" s="10">
        <f t="shared" si="17"/>
        <v>24.600000000034925</v>
      </c>
      <c r="N294" s="10">
        <f t="shared" si="18"/>
        <v>27.100000000849832</v>
      </c>
      <c r="O294" s="7" t="str">
        <f>IF(ISBLANK(I294),"N/A",IF(((I294-H294)*24)&gt;INDEX(Dim_ServiceType!$E$2:$E$16,MATCH(E294,Dim_ServiceType!$A$2:$A$16,0)),"Yes","No"))</f>
        <v>Yes</v>
      </c>
      <c r="P294" s="7" t="str">
        <f t="shared" si="19"/>
        <v>Closed</v>
      </c>
      <c r="Q294" s="6">
        <v>1</v>
      </c>
      <c r="R294" s="7" t="s">
        <v>196</v>
      </c>
    </row>
    <row r="295" spans="1:18" x14ac:dyDescent="0.35">
      <c r="A295" s="6">
        <v>294</v>
      </c>
      <c r="B295" s="7" t="s">
        <v>491</v>
      </c>
      <c r="C295" s="6">
        <v>15</v>
      </c>
      <c r="D295" s="6">
        <v>11</v>
      </c>
      <c r="E295" s="6">
        <v>7</v>
      </c>
      <c r="F295" s="6">
        <v>3</v>
      </c>
      <c r="G295" s="9">
        <v>45691.5942476852</v>
      </c>
      <c r="H295" s="9">
        <v>45691.615081018499</v>
      </c>
      <c r="I295" s="9">
        <v>45692.052581018499</v>
      </c>
      <c r="J295" s="9">
        <v>45693.052581018499</v>
      </c>
      <c r="K295" s="7" t="s">
        <v>195</v>
      </c>
      <c r="L295" s="10">
        <f t="shared" si="16"/>
        <v>0.49999999918509275</v>
      </c>
      <c r="M295" s="10">
        <f t="shared" si="17"/>
        <v>10.5</v>
      </c>
      <c r="N295" s="10">
        <f t="shared" si="18"/>
        <v>34.999999999185093</v>
      </c>
      <c r="O295" s="7" t="str">
        <f>IF(ISBLANK(I295),"N/A",IF(((I295-H295)*24)&gt;INDEX(Dim_ServiceType!$E$2:$E$16,MATCH(E295,Dim_ServiceType!$A$2:$A$16,0)),"Yes","No"))</f>
        <v>No</v>
      </c>
      <c r="P295" s="7" t="str">
        <f t="shared" si="19"/>
        <v>Closed</v>
      </c>
      <c r="Q295" s="6">
        <v>5</v>
      </c>
      <c r="R295" s="7" t="s">
        <v>196</v>
      </c>
    </row>
    <row r="296" spans="1:18" x14ac:dyDescent="0.35">
      <c r="A296" s="6">
        <v>295</v>
      </c>
      <c r="B296" s="7" t="s">
        <v>492</v>
      </c>
      <c r="C296" s="6">
        <v>14</v>
      </c>
      <c r="D296" s="6">
        <v>7</v>
      </c>
      <c r="E296" s="6">
        <v>2</v>
      </c>
      <c r="F296" s="6">
        <v>10</v>
      </c>
      <c r="G296" s="9">
        <v>45702.5165277778</v>
      </c>
      <c r="H296" s="9">
        <v>45703.2665277778</v>
      </c>
      <c r="I296" s="9">
        <v>45703.424861111103</v>
      </c>
      <c r="J296" s="9">
        <v>45703.591527777797</v>
      </c>
      <c r="K296" s="7" t="s">
        <v>200</v>
      </c>
      <c r="L296" s="10">
        <f t="shared" si="16"/>
        <v>18</v>
      </c>
      <c r="M296" s="10">
        <f t="shared" si="17"/>
        <v>3.7999999992898665</v>
      </c>
      <c r="N296" s="10">
        <f t="shared" si="18"/>
        <v>25.799999999930151</v>
      </c>
      <c r="O296" s="7" t="str">
        <f>IF(ISBLANK(I296),"N/A",IF(((I296-H296)*24)&gt;INDEX(Dim_ServiceType!$E$2:$E$16,MATCH(E296,Dim_ServiceType!$A$2:$A$16,0)),"Yes","No"))</f>
        <v>No</v>
      </c>
      <c r="P296" s="7" t="str">
        <f t="shared" si="19"/>
        <v>Closed</v>
      </c>
      <c r="Q296" s="6">
        <v>2</v>
      </c>
      <c r="R296" s="7" t="s">
        <v>196</v>
      </c>
    </row>
    <row r="297" spans="1:18" x14ac:dyDescent="0.35">
      <c r="A297" s="6">
        <v>296</v>
      </c>
      <c r="B297" s="7" t="s">
        <v>493</v>
      </c>
      <c r="C297" s="6">
        <v>8</v>
      </c>
      <c r="D297" s="6">
        <v>14</v>
      </c>
      <c r="E297" s="6">
        <v>11</v>
      </c>
      <c r="F297" s="6">
        <v>8</v>
      </c>
      <c r="G297" s="9">
        <v>45799.578113425901</v>
      </c>
      <c r="H297" s="9">
        <v>45799.703113425901</v>
      </c>
      <c r="I297" s="9">
        <v>45800.036446759303</v>
      </c>
      <c r="J297" s="9">
        <v>45800.286446759303</v>
      </c>
      <c r="K297" s="7" t="s">
        <v>192</v>
      </c>
      <c r="L297" s="10">
        <f t="shared" si="16"/>
        <v>3</v>
      </c>
      <c r="M297" s="10">
        <f t="shared" si="17"/>
        <v>8.0000000016298145</v>
      </c>
      <c r="N297" s="10">
        <f t="shared" si="18"/>
        <v>17.000000001629815</v>
      </c>
      <c r="O297" s="7" t="str">
        <f>IF(ISBLANK(I297),"N/A",IF(((I297-H297)*24)&gt;INDEX(Dim_ServiceType!$E$2:$E$16,MATCH(E297,Dim_ServiceType!$A$2:$A$16,0)),"Yes","No"))</f>
        <v>No</v>
      </c>
      <c r="P297" s="7" t="str">
        <f t="shared" si="19"/>
        <v>Closed</v>
      </c>
      <c r="Q297" s="6">
        <v>3</v>
      </c>
      <c r="R297" s="7" t="s">
        <v>196</v>
      </c>
    </row>
    <row r="298" spans="1:18" x14ac:dyDescent="0.35">
      <c r="A298" s="6">
        <v>297</v>
      </c>
      <c r="B298" s="7" t="s">
        <v>494</v>
      </c>
      <c r="C298" s="6">
        <v>1</v>
      </c>
      <c r="D298" s="6">
        <v>9</v>
      </c>
      <c r="E298" s="6">
        <v>7</v>
      </c>
      <c r="F298" s="6">
        <v>10</v>
      </c>
      <c r="G298" s="9">
        <v>45797.526157407403</v>
      </c>
      <c r="H298" s="9">
        <v>45797.546990740702</v>
      </c>
      <c r="I298" s="9">
        <v>45798.396990740701</v>
      </c>
      <c r="J298" s="9">
        <v>45798.896990740701</v>
      </c>
      <c r="K298" s="7" t="s">
        <v>200</v>
      </c>
      <c r="L298" s="10">
        <f t="shared" si="16"/>
        <v>0.49999999918509275</v>
      </c>
      <c r="M298" s="10">
        <f t="shared" si="17"/>
        <v>20.399999999965075</v>
      </c>
      <c r="N298" s="10">
        <f t="shared" si="18"/>
        <v>32.899999999150168</v>
      </c>
      <c r="O298" s="7" t="str">
        <f>IF(ISBLANK(I298),"N/A",IF(((I298-H298)*24)&gt;INDEX(Dim_ServiceType!$E$2:$E$16,MATCH(E298,Dim_ServiceType!$A$2:$A$16,0)),"Yes","No"))</f>
        <v>No</v>
      </c>
      <c r="P298" s="7" t="str">
        <f t="shared" si="19"/>
        <v>Closed</v>
      </c>
      <c r="Q298" s="6">
        <v>1</v>
      </c>
      <c r="R298" s="7" t="s">
        <v>196</v>
      </c>
    </row>
    <row r="299" spans="1:18" x14ac:dyDescent="0.35">
      <c r="A299" s="6">
        <v>298</v>
      </c>
      <c r="B299" s="7" t="s">
        <v>495</v>
      </c>
      <c r="C299" s="6">
        <v>4</v>
      </c>
      <c r="D299" s="6">
        <v>5</v>
      </c>
      <c r="E299" s="6">
        <v>15</v>
      </c>
      <c r="F299" s="6">
        <v>15</v>
      </c>
      <c r="G299" s="9">
        <v>45728.123981481498</v>
      </c>
      <c r="H299" s="9">
        <v>45728.248981481498</v>
      </c>
      <c r="I299" s="9">
        <v>45728.823981481502</v>
      </c>
      <c r="J299" s="9">
        <v>45728.844814814802</v>
      </c>
      <c r="K299" s="7" t="s">
        <v>192</v>
      </c>
      <c r="L299" s="10">
        <f t="shared" si="16"/>
        <v>3</v>
      </c>
      <c r="M299" s="10">
        <f t="shared" si="17"/>
        <v>13.800000000104774</v>
      </c>
      <c r="N299" s="10">
        <f t="shared" si="18"/>
        <v>17.299999999289867</v>
      </c>
      <c r="O299" s="7" t="str">
        <f>IF(ISBLANK(I299),"N/A",IF(((I299-H299)*24)&gt;INDEX(Dim_ServiceType!$E$2:$E$16,MATCH(E299,Dim_ServiceType!$A$2:$A$16,0)),"Yes","No"))</f>
        <v>No</v>
      </c>
      <c r="P299" s="7" t="str">
        <f t="shared" si="19"/>
        <v>Closed</v>
      </c>
      <c r="Q299" s="6">
        <v>4</v>
      </c>
      <c r="R299" s="7" t="s">
        <v>193</v>
      </c>
    </row>
    <row r="300" spans="1:18" x14ac:dyDescent="0.35">
      <c r="A300" s="6">
        <v>299</v>
      </c>
      <c r="B300" s="7" t="s">
        <v>496</v>
      </c>
      <c r="C300" s="6">
        <v>8</v>
      </c>
      <c r="D300" s="6">
        <v>1</v>
      </c>
      <c r="E300" s="6">
        <v>11</v>
      </c>
      <c r="F300" s="6">
        <v>9</v>
      </c>
      <c r="G300" s="9">
        <v>45864.171134259297</v>
      </c>
      <c r="H300" s="9">
        <v>45864.337800925903</v>
      </c>
      <c r="I300" s="9">
        <v>45865.716967592598</v>
      </c>
      <c r="J300" s="9">
        <v>45866.716967592598</v>
      </c>
      <c r="K300" s="7" t="s">
        <v>207</v>
      </c>
      <c r="L300" s="10">
        <f t="shared" si="16"/>
        <v>3.9999999985448085</v>
      </c>
      <c r="M300" s="10">
        <f t="shared" si="17"/>
        <v>33.100000000675209</v>
      </c>
      <c r="N300" s="10">
        <f t="shared" si="18"/>
        <v>61.099999999220017</v>
      </c>
      <c r="O300" s="7" t="str">
        <f>IF(ISBLANK(I300),"N/A",IF(((I300-H300)*24)&gt;INDEX(Dim_ServiceType!$E$2:$E$16,MATCH(E300,Dim_ServiceType!$A$2:$A$16,0)),"Yes","No"))</f>
        <v>Yes</v>
      </c>
      <c r="P300" s="7" t="str">
        <f t="shared" si="19"/>
        <v>Closed</v>
      </c>
      <c r="Q300" s="6">
        <v>1</v>
      </c>
      <c r="R300" s="7" t="s">
        <v>196</v>
      </c>
    </row>
    <row r="301" spans="1:18" x14ac:dyDescent="0.35">
      <c r="A301" s="6">
        <v>300</v>
      </c>
      <c r="B301" s="7" t="s">
        <v>497</v>
      </c>
      <c r="C301" s="6">
        <v>14</v>
      </c>
      <c r="D301" s="6">
        <v>9</v>
      </c>
      <c r="E301" s="6">
        <v>10</v>
      </c>
      <c r="F301" s="6">
        <v>5</v>
      </c>
      <c r="G301" s="9">
        <v>45936.725567129601</v>
      </c>
      <c r="H301" s="9">
        <v>45936.850567129601</v>
      </c>
      <c r="I301" s="9"/>
      <c r="J301" s="9"/>
      <c r="K301" s="7" t="s">
        <v>192</v>
      </c>
      <c r="L301" s="10">
        <f t="shared" si="16"/>
        <v>3</v>
      </c>
      <c r="M301" s="10" t="str">
        <f t="shared" si="17"/>
        <v/>
      </c>
      <c r="N301" s="10" t="str">
        <f t="shared" si="18"/>
        <v/>
      </c>
      <c r="O301" s="7" t="str">
        <f>IF(ISBLANK(I301),"N/A",IF(((I301-H301)*24)&gt;INDEX(Dim_ServiceType!$E$2:$E$16,MATCH(E301,Dim_ServiceType!$A$2:$A$16,0)),"Yes","No"))</f>
        <v>N/A</v>
      </c>
      <c r="P301" s="7" t="str">
        <f t="shared" si="19"/>
        <v>In Progress</v>
      </c>
      <c r="Q301" s="6"/>
      <c r="R301" s="7"/>
    </row>
    <row r="302" spans="1:18" x14ac:dyDescent="0.35">
      <c r="A302" s="6">
        <v>301</v>
      </c>
      <c r="B302" s="7" t="s">
        <v>498</v>
      </c>
      <c r="C302" s="6">
        <v>10</v>
      </c>
      <c r="D302" s="6">
        <v>9</v>
      </c>
      <c r="E302" s="6">
        <v>15</v>
      </c>
      <c r="F302" s="6">
        <v>10</v>
      </c>
      <c r="G302" s="9">
        <v>45844.909409722197</v>
      </c>
      <c r="H302" s="9">
        <v>45844.992743055598</v>
      </c>
      <c r="I302" s="9"/>
      <c r="J302" s="9"/>
      <c r="K302" s="7" t="s">
        <v>198</v>
      </c>
      <c r="L302" s="10">
        <f t="shared" si="16"/>
        <v>2.0000000016298145</v>
      </c>
      <c r="M302" s="10" t="str">
        <f t="shared" si="17"/>
        <v/>
      </c>
      <c r="N302" s="10" t="str">
        <f t="shared" si="18"/>
        <v/>
      </c>
      <c r="O302" s="7" t="str">
        <f>IF(ISBLANK(I302),"N/A",IF(((I302-H302)*24)&gt;INDEX(Dim_ServiceType!$E$2:$E$16,MATCH(E302,Dim_ServiceType!$A$2:$A$16,0)),"Yes","No"))</f>
        <v>N/A</v>
      </c>
      <c r="P302" s="7" t="str">
        <f t="shared" si="19"/>
        <v>In Progress</v>
      </c>
      <c r="Q302" s="6"/>
      <c r="R302" s="7"/>
    </row>
    <row r="303" spans="1:18" x14ac:dyDescent="0.35">
      <c r="A303" s="6">
        <v>302</v>
      </c>
      <c r="B303" s="7" t="s">
        <v>499</v>
      </c>
      <c r="C303" s="6">
        <v>10</v>
      </c>
      <c r="D303" s="6">
        <v>3</v>
      </c>
      <c r="E303" s="6">
        <v>9</v>
      </c>
      <c r="F303" s="6">
        <v>15</v>
      </c>
      <c r="G303" s="9">
        <v>45870.802141203698</v>
      </c>
      <c r="H303" s="9">
        <v>45871.135474536997</v>
      </c>
      <c r="I303" s="9">
        <v>45873.718807870398</v>
      </c>
      <c r="J303" s="9">
        <v>45874.218807870398</v>
      </c>
      <c r="K303" s="7" t="s">
        <v>200</v>
      </c>
      <c r="L303" s="10">
        <f t="shared" si="16"/>
        <v>7.9999999991850927</v>
      </c>
      <c r="M303" s="10">
        <f t="shared" si="17"/>
        <v>62.000000001629815</v>
      </c>
      <c r="N303" s="10">
        <f t="shared" si="18"/>
        <v>82.000000000814907</v>
      </c>
      <c r="O303" s="7" t="str">
        <f>IF(ISBLANK(I303),"N/A",IF(((I303-H303)*24)&gt;INDEX(Dim_ServiceType!$E$2:$E$16,MATCH(E303,Dim_ServiceType!$A$2:$A$16,0)),"Yes","No"))</f>
        <v>No</v>
      </c>
      <c r="P303" s="7" t="str">
        <f t="shared" si="19"/>
        <v>Closed</v>
      </c>
      <c r="Q303" s="6">
        <v>5</v>
      </c>
      <c r="R303" s="7" t="s">
        <v>196</v>
      </c>
    </row>
    <row r="304" spans="1:18" x14ac:dyDescent="0.35">
      <c r="A304" s="6">
        <v>303</v>
      </c>
      <c r="B304" s="7" t="s">
        <v>500</v>
      </c>
      <c r="C304" s="6">
        <v>2</v>
      </c>
      <c r="D304" s="6">
        <v>7</v>
      </c>
      <c r="E304" s="6">
        <v>9</v>
      </c>
      <c r="F304" s="6">
        <v>8</v>
      </c>
      <c r="G304" s="9">
        <v>45907.431087962999</v>
      </c>
      <c r="H304" s="9">
        <v>45907.556087962999</v>
      </c>
      <c r="I304" s="9"/>
      <c r="J304" s="9"/>
      <c r="K304" s="7" t="s">
        <v>200</v>
      </c>
      <c r="L304" s="10">
        <f t="shared" si="16"/>
        <v>3</v>
      </c>
      <c r="M304" s="10" t="str">
        <f t="shared" si="17"/>
        <v/>
      </c>
      <c r="N304" s="10" t="str">
        <f t="shared" si="18"/>
        <v/>
      </c>
      <c r="O304" s="7" t="str">
        <f>IF(ISBLANK(I304),"N/A",IF(((I304-H304)*24)&gt;INDEX(Dim_ServiceType!$E$2:$E$16,MATCH(E304,Dim_ServiceType!$A$2:$A$16,0)),"Yes","No"))</f>
        <v>N/A</v>
      </c>
      <c r="P304" s="7" t="str">
        <f t="shared" si="19"/>
        <v>In Progress</v>
      </c>
      <c r="Q304" s="6"/>
      <c r="R304" s="7"/>
    </row>
    <row r="305" spans="1:18" x14ac:dyDescent="0.35">
      <c r="A305" s="6">
        <v>304</v>
      </c>
      <c r="B305" s="7" t="s">
        <v>501</v>
      </c>
      <c r="C305" s="6">
        <v>10</v>
      </c>
      <c r="D305" s="6">
        <v>7</v>
      </c>
      <c r="E305" s="6">
        <v>8</v>
      </c>
      <c r="F305" s="6">
        <v>11</v>
      </c>
      <c r="G305" s="9">
        <v>45995.8227893519</v>
      </c>
      <c r="H305" s="9"/>
      <c r="I305" s="9"/>
      <c r="J305" s="9"/>
      <c r="K305" s="7" t="s">
        <v>192</v>
      </c>
      <c r="L305" s="10" t="str">
        <f t="shared" si="16"/>
        <v/>
      </c>
      <c r="M305" s="10" t="str">
        <f t="shared" si="17"/>
        <v/>
      </c>
      <c r="N305" s="10" t="str">
        <f t="shared" si="18"/>
        <v/>
      </c>
      <c r="O305" s="7" t="str">
        <f>IF(ISBLANK(I305),"N/A",IF(((I305-H305)*24)&gt;INDEX(Dim_ServiceType!$E$2:$E$16,MATCH(E305,Dim_ServiceType!$A$2:$A$16,0)),"Yes","No"))</f>
        <v>N/A</v>
      </c>
      <c r="P305" s="7" t="str">
        <f t="shared" si="19"/>
        <v>Open (Unassigned)</v>
      </c>
      <c r="Q305" s="6"/>
      <c r="R305" s="7"/>
    </row>
    <row r="306" spans="1:18" x14ac:dyDescent="0.35">
      <c r="A306" s="6">
        <v>305</v>
      </c>
      <c r="B306" s="7" t="s">
        <v>502</v>
      </c>
      <c r="C306" s="6">
        <v>11</v>
      </c>
      <c r="D306" s="6">
        <v>15</v>
      </c>
      <c r="E306" s="6">
        <v>12</v>
      </c>
      <c r="F306" s="6">
        <v>14</v>
      </c>
      <c r="G306" s="9">
        <v>45763.314004629603</v>
      </c>
      <c r="H306" s="9">
        <v>45763.814004629603</v>
      </c>
      <c r="I306" s="9">
        <v>45764.884837963</v>
      </c>
      <c r="J306" s="9">
        <v>45765.051504629599</v>
      </c>
      <c r="K306" s="7" t="s">
        <v>207</v>
      </c>
      <c r="L306" s="10">
        <f t="shared" si="16"/>
        <v>12</v>
      </c>
      <c r="M306" s="10">
        <f t="shared" si="17"/>
        <v>25.700000001525041</v>
      </c>
      <c r="N306" s="10">
        <f t="shared" si="18"/>
        <v>41.699999999895226</v>
      </c>
      <c r="O306" s="7" t="str">
        <f>IF(ISBLANK(I306),"N/A",IF(((I306-H306)*24)&gt;INDEX(Dim_ServiceType!$E$2:$E$16,MATCH(E306,Dim_ServiceType!$A$2:$A$16,0)),"Yes","No"))</f>
        <v>Yes</v>
      </c>
      <c r="P306" s="7" t="str">
        <f t="shared" si="19"/>
        <v>Closed</v>
      </c>
      <c r="Q306" s="6">
        <v>3</v>
      </c>
      <c r="R306" s="7" t="s">
        <v>193</v>
      </c>
    </row>
    <row r="307" spans="1:18" x14ac:dyDescent="0.35">
      <c r="A307" s="6">
        <v>306</v>
      </c>
      <c r="B307" s="7" t="s">
        <v>503</v>
      </c>
      <c r="C307" s="6">
        <v>9</v>
      </c>
      <c r="D307" s="6">
        <v>4</v>
      </c>
      <c r="E307" s="6">
        <v>3</v>
      </c>
      <c r="F307" s="6">
        <v>10</v>
      </c>
      <c r="G307" s="9">
        <v>45875.979780092603</v>
      </c>
      <c r="H307" s="9">
        <v>45876.146446759303</v>
      </c>
      <c r="I307" s="9">
        <v>45876.342280092598</v>
      </c>
      <c r="J307" s="9">
        <v>45876.508946759299</v>
      </c>
      <c r="K307" s="7" t="s">
        <v>207</v>
      </c>
      <c r="L307" s="10">
        <f t="shared" si="16"/>
        <v>4.0000000008149073</v>
      </c>
      <c r="M307" s="10">
        <f t="shared" si="17"/>
        <v>4.699999999080319</v>
      </c>
      <c r="N307" s="10">
        <f t="shared" si="18"/>
        <v>12.700000000710133</v>
      </c>
      <c r="O307" s="7" t="str">
        <f>IF(ISBLANK(I307),"N/A",IF(((I307-H307)*24)&gt;INDEX(Dim_ServiceType!$E$2:$E$16,MATCH(E307,Dim_ServiceType!$A$2:$A$16,0)),"Yes","No"))</f>
        <v>No</v>
      </c>
      <c r="P307" s="7" t="str">
        <f t="shared" si="19"/>
        <v>Closed</v>
      </c>
      <c r="Q307" s="6">
        <v>1</v>
      </c>
      <c r="R307" s="7" t="s">
        <v>196</v>
      </c>
    </row>
    <row r="308" spans="1:18" x14ac:dyDescent="0.35">
      <c r="A308" s="6">
        <v>307</v>
      </c>
      <c r="B308" s="7" t="s">
        <v>504</v>
      </c>
      <c r="C308" s="6">
        <v>10</v>
      </c>
      <c r="D308" s="6">
        <v>1</v>
      </c>
      <c r="E308" s="6">
        <v>15</v>
      </c>
      <c r="F308" s="6">
        <v>1</v>
      </c>
      <c r="G308" s="9">
        <v>46003.524444444498</v>
      </c>
      <c r="H308" s="9"/>
      <c r="I308" s="9"/>
      <c r="J308" s="9"/>
      <c r="K308" s="7" t="s">
        <v>195</v>
      </c>
      <c r="L308" s="10" t="str">
        <f t="shared" si="16"/>
        <v/>
      </c>
      <c r="M308" s="10" t="str">
        <f t="shared" si="17"/>
        <v/>
      </c>
      <c r="N308" s="10" t="str">
        <f t="shared" si="18"/>
        <v/>
      </c>
      <c r="O308" s="7" t="str">
        <f>IF(ISBLANK(I308),"N/A",IF(((I308-H308)*24)&gt;INDEX(Dim_ServiceType!$E$2:$E$16,MATCH(E308,Dim_ServiceType!$A$2:$A$16,0)),"Yes","No"))</f>
        <v>N/A</v>
      </c>
      <c r="P308" s="7" t="str">
        <f t="shared" si="19"/>
        <v>Open (Unassigned)</v>
      </c>
      <c r="Q308" s="6"/>
      <c r="R308" s="7"/>
    </row>
    <row r="309" spans="1:18" x14ac:dyDescent="0.35">
      <c r="A309" s="6">
        <v>308</v>
      </c>
      <c r="B309" s="7" t="s">
        <v>505</v>
      </c>
      <c r="C309" s="6">
        <v>5</v>
      </c>
      <c r="D309" s="6">
        <v>14</v>
      </c>
      <c r="E309" s="6">
        <v>3</v>
      </c>
      <c r="F309" s="6">
        <v>2</v>
      </c>
      <c r="G309" s="9">
        <v>45833.014884259297</v>
      </c>
      <c r="H309" s="9">
        <v>45833.514884259297</v>
      </c>
      <c r="I309" s="9"/>
      <c r="J309" s="9"/>
      <c r="K309" s="7" t="s">
        <v>195</v>
      </c>
      <c r="L309" s="10">
        <f t="shared" si="16"/>
        <v>12</v>
      </c>
      <c r="M309" s="10" t="str">
        <f t="shared" si="17"/>
        <v/>
      </c>
      <c r="N309" s="10" t="str">
        <f t="shared" si="18"/>
        <v/>
      </c>
      <c r="O309" s="7" t="str">
        <f>IF(ISBLANK(I309),"N/A",IF(((I309-H309)*24)&gt;INDEX(Dim_ServiceType!$E$2:$E$16,MATCH(E309,Dim_ServiceType!$A$2:$A$16,0)),"Yes","No"))</f>
        <v>N/A</v>
      </c>
      <c r="P309" s="7" t="str">
        <f t="shared" si="19"/>
        <v>In Progress</v>
      </c>
      <c r="Q309" s="6"/>
      <c r="R309" s="7"/>
    </row>
    <row r="310" spans="1:18" x14ac:dyDescent="0.35">
      <c r="A310" s="6">
        <v>309</v>
      </c>
      <c r="B310" s="7" t="s">
        <v>506</v>
      </c>
      <c r="C310" s="6">
        <v>9</v>
      </c>
      <c r="D310" s="6">
        <v>3</v>
      </c>
      <c r="E310" s="6">
        <v>8</v>
      </c>
      <c r="F310" s="6">
        <v>5</v>
      </c>
      <c r="G310" s="9">
        <v>45674.314085648199</v>
      </c>
      <c r="H310" s="9">
        <v>45675.064085648199</v>
      </c>
      <c r="I310" s="9">
        <v>45675.322418981501</v>
      </c>
      <c r="J310" s="9">
        <v>45675.572418981501</v>
      </c>
      <c r="K310" s="7" t="s">
        <v>200</v>
      </c>
      <c r="L310" s="10">
        <f t="shared" si="16"/>
        <v>18</v>
      </c>
      <c r="M310" s="10">
        <f t="shared" si="17"/>
        <v>6.1999999992549419</v>
      </c>
      <c r="N310" s="10">
        <f t="shared" si="18"/>
        <v>30.199999999254942</v>
      </c>
      <c r="O310" s="7" t="str">
        <f>IF(ISBLANK(I310),"N/A",IF(((I310-H310)*24)&gt;INDEX(Dim_ServiceType!$E$2:$E$16,MATCH(E310,Dim_ServiceType!$A$2:$A$16,0)),"Yes","No"))</f>
        <v>Yes</v>
      </c>
      <c r="P310" s="7" t="str">
        <f t="shared" si="19"/>
        <v>Closed</v>
      </c>
      <c r="Q310" s="6">
        <v>5</v>
      </c>
      <c r="R310" s="7" t="s">
        <v>193</v>
      </c>
    </row>
    <row r="311" spans="1:18" x14ac:dyDescent="0.35">
      <c r="A311" s="6">
        <v>310</v>
      </c>
      <c r="B311" s="7" t="s">
        <v>507</v>
      </c>
      <c r="C311" s="6">
        <v>11</v>
      </c>
      <c r="D311" s="6">
        <v>14</v>
      </c>
      <c r="E311" s="6">
        <v>15</v>
      </c>
      <c r="F311" s="6">
        <v>3</v>
      </c>
      <c r="G311" s="9">
        <v>45756.827696759297</v>
      </c>
      <c r="H311" s="9">
        <v>45757.077696759297</v>
      </c>
      <c r="I311" s="9">
        <v>45757.744363425903</v>
      </c>
      <c r="J311" s="9">
        <v>45757.994363425903</v>
      </c>
      <c r="K311" s="7" t="s">
        <v>195</v>
      </c>
      <c r="L311" s="10">
        <f t="shared" si="16"/>
        <v>6</v>
      </c>
      <c r="M311" s="10">
        <f t="shared" si="17"/>
        <v>15.999999998544808</v>
      </c>
      <c r="N311" s="10">
        <f t="shared" si="18"/>
        <v>27.999999998544808</v>
      </c>
      <c r="O311" s="7" t="str">
        <f>IF(ISBLANK(I311),"N/A",IF(((I311-H311)*24)&gt;INDEX(Dim_ServiceType!$E$2:$E$16,MATCH(E311,Dim_ServiceType!$A$2:$A$16,0)),"Yes","No"))</f>
        <v>No</v>
      </c>
      <c r="P311" s="7" t="str">
        <f t="shared" si="19"/>
        <v>Closed</v>
      </c>
      <c r="Q311" s="6">
        <v>2</v>
      </c>
      <c r="R311" s="7" t="s">
        <v>196</v>
      </c>
    </row>
    <row r="312" spans="1:18" x14ac:dyDescent="0.35">
      <c r="A312" s="6">
        <v>311</v>
      </c>
      <c r="B312" s="7" t="s">
        <v>508</v>
      </c>
      <c r="C312" s="6">
        <v>7</v>
      </c>
      <c r="D312" s="6">
        <v>2</v>
      </c>
      <c r="E312" s="6">
        <v>7</v>
      </c>
      <c r="F312" s="6">
        <v>10</v>
      </c>
      <c r="G312" s="9">
        <v>45906.870578703703</v>
      </c>
      <c r="H312" s="9">
        <v>45907.120578703703</v>
      </c>
      <c r="I312" s="9">
        <v>45908.049745370401</v>
      </c>
      <c r="J312" s="9">
        <v>45908.0705787037</v>
      </c>
      <c r="K312" s="7" t="s">
        <v>192</v>
      </c>
      <c r="L312" s="10">
        <f t="shared" si="16"/>
        <v>6</v>
      </c>
      <c r="M312" s="10">
        <f t="shared" si="17"/>
        <v>22.300000000745058</v>
      </c>
      <c r="N312" s="10">
        <f t="shared" si="18"/>
        <v>28.799999999930151</v>
      </c>
      <c r="O312" s="7" t="str">
        <f>IF(ISBLANK(I312),"N/A",IF(((I312-H312)*24)&gt;INDEX(Dim_ServiceType!$E$2:$E$16,MATCH(E312,Dim_ServiceType!$A$2:$A$16,0)),"Yes","No"))</f>
        <v>No</v>
      </c>
      <c r="P312" s="7" t="str">
        <f t="shared" si="19"/>
        <v>Closed</v>
      </c>
      <c r="Q312" s="6">
        <v>1</v>
      </c>
      <c r="R312" s="7" t="s">
        <v>193</v>
      </c>
    </row>
    <row r="313" spans="1:18" x14ac:dyDescent="0.35">
      <c r="A313" s="6">
        <v>312</v>
      </c>
      <c r="B313" s="7" t="s">
        <v>509</v>
      </c>
      <c r="C313" s="6">
        <v>10</v>
      </c>
      <c r="D313" s="6">
        <v>3</v>
      </c>
      <c r="E313" s="6">
        <v>9</v>
      </c>
      <c r="F313" s="6">
        <v>4</v>
      </c>
      <c r="G313" s="9">
        <v>45993.481805555602</v>
      </c>
      <c r="H313" s="9">
        <v>45994.231805555602</v>
      </c>
      <c r="I313" s="9"/>
      <c r="J313" s="9"/>
      <c r="K313" s="7" t="s">
        <v>198</v>
      </c>
      <c r="L313" s="10">
        <f t="shared" si="16"/>
        <v>18</v>
      </c>
      <c r="M313" s="10" t="str">
        <f t="shared" si="17"/>
        <v/>
      </c>
      <c r="N313" s="10" t="str">
        <f t="shared" si="18"/>
        <v/>
      </c>
      <c r="O313" s="7" t="str">
        <f>IF(ISBLANK(I313),"N/A",IF(((I313-H313)*24)&gt;INDEX(Dim_ServiceType!$E$2:$E$16,MATCH(E313,Dim_ServiceType!$A$2:$A$16,0)),"Yes","No"))</f>
        <v>N/A</v>
      </c>
      <c r="P313" s="7" t="str">
        <f t="shared" si="19"/>
        <v>In Progress</v>
      </c>
      <c r="Q313" s="6"/>
      <c r="R313" s="7"/>
    </row>
    <row r="314" spans="1:18" x14ac:dyDescent="0.35">
      <c r="A314" s="6">
        <v>313</v>
      </c>
      <c r="B314" s="7" t="s">
        <v>510</v>
      </c>
      <c r="C314" s="6">
        <v>4</v>
      </c>
      <c r="D314" s="6">
        <v>5</v>
      </c>
      <c r="E314" s="6">
        <v>3</v>
      </c>
      <c r="F314" s="6">
        <v>9</v>
      </c>
      <c r="G314" s="9">
        <v>45850.776967592603</v>
      </c>
      <c r="H314" s="9">
        <v>45850.818634259304</v>
      </c>
      <c r="I314" s="9">
        <v>45851.2269675926</v>
      </c>
      <c r="J314" s="9">
        <v>45851.247800925899</v>
      </c>
      <c r="K314" s="7" t="s">
        <v>198</v>
      </c>
      <c r="L314" s="10">
        <f t="shared" si="16"/>
        <v>1.0000000008149073</v>
      </c>
      <c r="M314" s="10">
        <f t="shared" si="17"/>
        <v>9.7999999991152436</v>
      </c>
      <c r="N314" s="10">
        <f t="shared" si="18"/>
        <v>11.299999999115244</v>
      </c>
      <c r="O314" s="7" t="str">
        <f>IF(ISBLANK(I314),"N/A",IF(((I314-H314)*24)&gt;INDEX(Dim_ServiceType!$E$2:$E$16,MATCH(E314,Dim_ServiceType!$A$2:$A$16,0)),"Yes","No"))</f>
        <v>Yes</v>
      </c>
      <c r="P314" s="7" t="str">
        <f t="shared" si="19"/>
        <v>Closed</v>
      </c>
      <c r="Q314" s="6">
        <v>2</v>
      </c>
      <c r="R314" s="7" t="s">
        <v>196</v>
      </c>
    </row>
    <row r="315" spans="1:18" x14ac:dyDescent="0.35">
      <c r="A315" s="6">
        <v>314</v>
      </c>
      <c r="B315" s="7" t="s">
        <v>511</v>
      </c>
      <c r="C315" s="6">
        <v>12</v>
      </c>
      <c r="D315" s="6">
        <v>8</v>
      </c>
      <c r="E315" s="6">
        <v>15</v>
      </c>
      <c r="F315" s="6">
        <v>14</v>
      </c>
      <c r="G315" s="9">
        <v>45888.909016203703</v>
      </c>
      <c r="H315" s="9">
        <v>45889.659016203703</v>
      </c>
      <c r="I315" s="9">
        <v>45890.417349536998</v>
      </c>
      <c r="J315" s="9">
        <v>45890.667349536998</v>
      </c>
      <c r="K315" s="7" t="s">
        <v>192</v>
      </c>
      <c r="L315" s="10">
        <f t="shared" si="16"/>
        <v>18</v>
      </c>
      <c r="M315" s="10">
        <f t="shared" si="17"/>
        <v>18.199999999080319</v>
      </c>
      <c r="N315" s="10">
        <f t="shared" si="18"/>
        <v>42.199999999080319</v>
      </c>
      <c r="O315" s="7" t="str">
        <f>IF(ISBLANK(I315),"N/A",IF(((I315-H315)*24)&gt;INDEX(Dim_ServiceType!$E$2:$E$16,MATCH(E315,Dim_ServiceType!$A$2:$A$16,0)),"Yes","No"))</f>
        <v>No</v>
      </c>
      <c r="P315" s="7" t="str">
        <f t="shared" si="19"/>
        <v>Closed</v>
      </c>
      <c r="Q315" s="6">
        <v>4</v>
      </c>
      <c r="R315" s="7" t="s">
        <v>196</v>
      </c>
    </row>
    <row r="316" spans="1:18" x14ac:dyDescent="0.35">
      <c r="A316" s="6">
        <v>315</v>
      </c>
      <c r="B316" s="7" t="s">
        <v>512</v>
      </c>
      <c r="C316" s="6">
        <v>15</v>
      </c>
      <c r="D316" s="6">
        <v>4</v>
      </c>
      <c r="E316" s="6">
        <v>12</v>
      </c>
      <c r="F316" s="6">
        <v>14</v>
      </c>
      <c r="G316" s="9">
        <v>45674.211828703701</v>
      </c>
      <c r="H316" s="9">
        <v>45674.336828703701</v>
      </c>
      <c r="I316" s="9">
        <v>45674.736828703702</v>
      </c>
      <c r="J316" s="9">
        <v>45674.757662037002</v>
      </c>
      <c r="K316" s="7" t="s">
        <v>200</v>
      </c>
      <c r="L316" s="10">
        <f t="shared" si="16"/>
        <v>3</v>
      </c>
      <c r="M316" s="10">
        <f t="shared" si="17"/>
        <v>9.6000000000349246</v>
      </c>
      <c r="N316" s="10">
        <f t="shared" si="18"/>
        <v>13.099999999220017</v>
      </c>
      <c r="O316" s="7" t="str">
        <f>IF(ISBLANK(I316),"N/A",IF(((I316-H316)*24)&gt;INDEX(Dim_ServiceType!$E$2:$E$16,MATCH(E316,Dim_ServiceType!$A$2:$A$16,0)),"Yes","No"))</f>
        <v>No</v>
      </c>
      <c r="P316" s="7" t="str">
        <f t="shared" si="19"/>
        <v>Closed</v>
      </c>
      <c r="Q316" s="6">
        <v>2</v>
      </c>
      <c r="R316" s="7" t="s">
        <v>196</v>
      </c>
    </row>
    <row r="317" spans="1:18" x14ac:dyDescent="0.35">
      <c r="A317" s="6">
        <v>316</v>
      </c>
      <c r="B317" s="7" t="s">
        <v>513</v>
      </c>
      <c r="C317" s="6">
        <v>3</v>
      </c>
      <c r="D317" s="6">
        <v>1</v>
      </c>
      <c r="E317" s="6">
        <v>3</v>
      </c>
      <c r="F317" s="6">
        <v>5</v>
      </c>
      <c r="G317" s="9">
        <v>45945.5964930556</v>
      </c>
      <c r="H317" s="9">
        <v>45945.763159722199</v>
      </c>
      <c r="I317" s="9">
        <v>45946.058993055602</v>
      </c>
      <c r="J317" s="9">
        <v>45946.2256597222</v>
      </c>
      <c r="K317" s="7" t="s">
        <v>198</v>
      </c>
      <c r="L317" s="10">
        <f t="shared" si="16"/>
        <v>3.9999999983701855</v>
      </c>
      <c r="M317" s="10">
        <f t="shared" si="17"/>
        <v>7.1000000016647391</v>
      </c>
      <c r="N317" s="10">
        <f t="shared" si="18"/>
        <v>15.09999999840511</v>
      </c>
      <c r="O317" s="7" t="str">
        <f>IF(ISBLANK(I317),"N/A",IF(((I317-H317)*24)&gt;INDEX(Dim_ServiceType!$E$2:$E$16,MATCH(E317,Dim_ServiceType!$A$2:$A$16,0)),"Yes","No"))</f>
        <v>No</v>
      </c>
      <c r="P317" s="7" t="str">
        <f t="shared" si="19"/>
        <v>Closed</v>
      </c>
      <c r="Q317" s="6">
        <v>4</v>
      </c>
      <c r="R317" s="7" t="s">
        <v>196</v>
      </c>
    </row>
    <row r="318" spans="1:18" x14ac:dyDescent="0.35">
      <c r="A318" s="6">
        <v>317</v>
      </c>
      <c r="B318" s="7" t="s">
        <v>514</v>
      </c>
      <c r="C318" s="6">
        <v>10</v>
      </c>
      <c r="D318" s="6">
        <v>12</v>
      </c>
      <c r="E318" s="6">
        <v>2</v>
      </c>
      <c r="F318" s="6">
        <v>11</v>
      </c>
      <c r="G318" s="9">
        <v>45920.817916666703</v>
      </c>
      <c r="H318" s="9">
        <v>45921.067916666703</v>
      </c>
      <c r="I318" s="9">
        <v>45921.28875</v>
      </c>
      <c r="J318" s="9">
        <v>45922.28875</v>
      </c>
      <c r="K318" s="7" t="s">
        <v>198</v>
      </c>
      <c r="L318" s="10">
        <f t="shared" si="16"/>
        <v>6</v>
      </c>
      <c r="M318" s="10">
        <f t="shared" si="17"/>
        <v>5.2999999991152436</v>
      </c>
      <c r="N318" s="10">
        <f t="shared" si="18"/>
        <v>35.299999999115244</v>
      </c>
      <c r="O318" s="7" t="str">
        <f>IF(ISBLANK(I318),"N/A",IF(((I318-H318)*24)&gt;INDEX(Dim_ServiceType!$E$2:$E$16,MATCH(E318,Dim_ServiceType!$A$2:$A$16,0)),"Yes","No"))</f>
        <v>No</v>
      </c>
      <c r="P318" s="7" t="str">
        <f t="shared" si="19"/>
        <v>Closed</v>
      </c>
      <c r="Q318" s="6">
        <v>4</v>
      </c>
      <c r="R318" s="7" t="s">
        <v>196</v>
      </c>
    </row>
    <row r="319" spans="1:18" x14ac:dyDescent="0.35">
      <c r="A319" s="6">
        <v>318</v>
      </c>
      <c r="B319" s="7" t="s">
        <v>515</v>
      </c>
      <c r="C319" s="6">
        <v>11</v>
      </c>
      <c r="D319" s="6">
        <v>12</v>
      </c>
      <c r="E319" s="6">
        <v>12</v>
      </c>
      <c r="F319" s="6">
        <v>9</v>
      </c>
      <c r="G319" s="9">
        <v>46006.1858796296</v>
      </c>
      <c r="H319" s="9"/>
      <c r="I319" s="9"/>
      <c r="J319" s="9"/>
      <c r="K319" s="7" t="s">
        <v>198</v>
      </c>
      <c r="L319" s="10" t="str">
        <f t="shared" si="16"/>
        <v/>
      </c>
      <c r="M319" s="10" t="str">
        <f t="shared" si="17"/>
        <v/>
      </c>
      <c r="N319" s="10" t="str">
        <f t="shared" si="18"/>
        <v/>
      </c>
      <c r="O319" s="7" t="str">
        <f>IF(ISBLANK(I319),"N/A",IF(((I319-H319)*24)&gt;INDEX(Dim_ServiceType!$E$2:$E$16,MATCH(E319,Dim_ServiceType!$A$2:$A$16,0)),"Yes","No"))</f>
        <v>N/A</v>
      </c>
      <c r="P319" s="7" t="str">
        <f t="shared" si="19"/>
        <v>Open (Unassigned)</v>
      </c>
      <c r="Q319" s="6"/>
      <c r="R319" s="7"/>
    </row>
    <row r="320" spans="1:18" x14ac:dyDescent="0.35">
      <c r="A320" s="6">
        <v>319</v>
      </c>
      <c r="B320" s="7" t="s">
        <v>516</v>
      </c>
      <c r="C320" s="6">
        <v>15</v>
      </c>
      <c r="D320" s="6">
        <v>2</v>
      </c>
      <c r="E320" s="6">
        <v>14</v>
      </c>
      <c r="F320" s="6">
        <v>11</v>
      </c>
      <c r="G320" s="9">
        <v>45912.901111111103</v>
      </c>
      <c r="H320" s="9">
        <v>45913.067777777796</v>
      </c>
      <c r="I320" s="9">
        <v>45913.176111111097</v>
      </c>
      <c r="J320" s="9">
        <v>45913.259444444499</v>
      </c>
      <c r="K320" s="7" t="s">
        <v>192</v>
      </c>
      <c r="L320" s="10">
        <f t="shared" si="16"/>
        <v>4.0000000006402843</v>
      </c>
      <c r="M320" s="10">
        <f t="shared" si="17"/>
        <v>2.5999999992200173</v>
      </c>
      <c r="N320" s="10">
        <f t="shared" si="18"/>
        <v>8.6000000014901161</v>
      </c>
      <c r="O320" s="7" t="str">
        <f>IF(ISBLANK(I320),"N/A",IF(((I320-H320)*24)&gt;INDEX(Dim_ServiceType!$E$2:$E$16,MATCH(E320,Dim_ServiceType!$A$2:$A$16,0)),"Yes","No"))</f>
        <v>No</v>
      </c>
      <c r="P320" s="7" t="str">
        <f t="shared" si="19"/>
        <v>Closed</v>
      </c>
      <c r="Q320" s="6">
        <v>3</v>
      </c>
      <c r="R320" s="7" t="s">
        <v>196</v>
      </c>
    </row>
    <row r="321" spans="1:18" x14ac:dyDescent="0.35">
      <c r="A321" s="6">
        <v>320</v>
      </c>
      <c r="B321" s="7" t="s">
        <v>517</v>
      </c>
      <c r="C321" s="6">
        <v>12</v>
      </c>
      <c r="D321" s="6">
        <v>4</v>
      </c>
      <c r="E321" s="6">
        <v>7</v>
      </c>
      <c r="F321" s="6">
        <v>15</v>
      </c>
      <c r="G321" s="9">
        <v>45897.865104166704</v>
      </c>
      <c r="H321" s="9">
        <v>45897.906770833302</v>
      </c>
      <c r="I321" s="9">
        <v>45898.765104166698</v>
      </c>
      <c r="J321" s="9">
        <v>45899.015104166698</v>
      </c>
      <c r="K321" s="7" t="s">
        <v>198</v>
      </c>
      <c r="L321" s="10">
        <f t="shared" si="16"/>
        <v>0.99999999837018549</v>
      </c>
      <c r="M321" s="10">
        <f t="shared" si="17"/>
        <v>20.600000001490116</v>
      </c>
      <c r="N321" s="10">
        <f t="shared" si="18"/>
        <v>27.599999999860302</v>
      </c>
      <c r="O321" s="7" t="str">
        <f>IF(ISBLANK(I321),"N/A",IF(((I321-H321)*24)&gt;INDEX(Dim_ServiceType!$E$2:$E$16,MATCH(E321,Dim_ServiceType!$A$2:$A$16,0)),"Yes","No"))</f>
        <v>No</v>
      </c>
      <c r="P321" s="7" t="str">
        <f t="shared" si="19"/>
        <v>Closed</v>
      </c>
      <c r="Q321" s="6">
        <v>4</v>
      </c>
      <c r="R321" s="7" t="s">
        <v>196</v>
      </c>
    </row>
    <row r="322" spans="1:18" x14ac:dyDescent="0.35">
      <c r="A322" s="6">
        <v>321</v>
      </c>
      <c r="B322" s="7" t="s">
        <v>518</v>
      </c>
      <c r="C322" s="6">
        <v>7</v>
      </c>
      <c r="D322" s="6">
        <v>4</v>
      </c>
      <c r="E322" s="6">
        <v>1</v>
      </c>
      <c r="F322" s="6">
        <v>3</v>
      </c>
      <c r="G322" s="9">
        <v>45799.803333333301</v>
      </c>
      <c r="H322" s="9">
        <v>45800.136666666702</v>
      </c>
      <c r="I322" s="9">
        <v>45800.332499999997</v>
      </c>
      <c r="J322" s="9">
        <v>45800.415833333303</v>
      </c>
      <c r="K322" s="7" t="s">
        <v>198</v>
      </c>
      <c r="L322" s="10">
        <f t="shared" ref="L322:L385" si="20">IF(ISBLANK(H322),"",(H322-G322)*24)</f>
        <v>8.0000000016298145</v>
      </c>
      <c r="M322" s="10">
        <f t="shared" ref="M322:M385" si="21">IF(ISBLANK(I322),"",(I322-H322)*24)</f>
        <v>4.699999999080319</v>
      </c>
      <c r="N322" s="10">
        <f t="shared" ref="N322:N385" si="22">IF(ISBLANK(J322),"",(J322-G322)*24)</f>
        <v>14.700000000069849</v>
      </c>
      <c r="O322" s="7" t="str">
        <f>IF(ISBLANK(I322),"N/A",IF(((I322-H322)*24)&gt;INDEX(Dim_ServiceType!$E$2:$E$16,MATCH(E322,Dim_ServiceType!$A$2:$A$16,0)),"Yes","No"))</f>
        <v>Yes</v>
      </c>
      <c r="P322" s="7" t="str">
        <f t="shared" ref="P322:P385" si="23">IF(ISBLANK(H322),"Open (Unassigned)",IF(ISBLANK(I322),"In Progress",IF(ISBLANK(J322),"Resolved (Pending Closure)","Closed")))</f>
        <v>Closed</v>
      </c>
      <c r="Q322" s="6">
        <v>2</v>
      </c>
      <c r="R322" s="7" t="s">
        <v>193</v>
      </c>
    </row>
    <row r="323" spans="1:18" x14ac:dyDescent="0.35">
      <c r="A323" s="6">
        <v>322</v>
      </c>
      <c r="B323" s="7" t="s">
        <v>519</v>
      </c>
      <c r="C323" s="6">
        <v>11</v>
      </c>
      <c r="D323" s="6">
        <v>14</v>
      </c>
      <c r="E323" s="6">
        <v>8</v>
      </c>
      <c r="F323" s="6">
        <v>1</v>
      </c>
      <c r="G323" s="9">
        <v>45871.180787037003</v>
      </c>
      <c r="H323" s="9">
        <v>45871.305787037003</v>
      </c>
      <c r="I323" s="9">
        <v>45871.609953703701</v>
      </c>
      <c r="J323" s="9">
        <v>45872.109953703701</v>
      </c>
      <c r="K323" s="7" t="s">
        <v>195</v>
      </c>
      <c r="L323" s="10">
        <f t="shared" si="20"/>
        <v>3</v>
      </c>
      <c r="M323" s="10">
        <f t="shared" si="21"/>
        <v>7.3000000007450581</v>
      </c>
      <c r="N323" s="10">
        <f t="shared" si="22"/>
        <v>22.300000000745058</v>
      </c>
      <c r="O323" s="7" t="str">
        <f>IF(ISBLANK(I323),"N/A",IF(((I323-H323)*24)&gt;INDEX(Dim_ServiceType!$E$2:$E$16,MATCH(E323,Dim_ServiceType!$A$2:$A$16,0)),"Yes","No"))</f>
        <v>Yes</v>
      </c>
      <c r="P323" s="7" t="str">
        <f t="shared" si="23"/>
        <v>Closed</v>
      </c>
      <c r="Q323" s="6">
        <v>3</v>
      </c>
      <c r="R323" s="7" t="s">
        <v>196</v>
      </c>
    </row>
    <row r="324" spans="1:18" x14ac:dyDescent="0.35">
      <c r="A324" s="6">
        <v>323</v>
      </c>
      <c r="B324" s="7" t="s">
        <v>520</v>
      </c>
      <c r="C324" s="6">
        <v>14</v>
      </c>
      <c r="D324" s="6">
        <v>1</v>
      </c>
      <c r="E324" s="6">
        <v>15</v>
      </c>
      <c r="F324" s="6">
        <v>10</v>
      </c>
      <c r="G324" s="9">
        <v>45727.318877314799</v>
      </c>
      <c r="H324" s="9">
        <v>45727.818877314799</v>
      </c>
      <c r="I324" s="9">
        <v>45728.614710648202</v>
      </c>
      <c r="J324" s="9">
        <v>45728.781377314801</v>
      </c>
      <c r="K324" s="7" t="s">
        <v>200</v>
      </c>
      <c r="L324" s="10">
        <f t="shared" si="20"/>
        <v>12</v>
      </c>
      <c r="M324" s="10">
        <f t="shared" si="21"/>
        <v>19.100000001664739</v>
      </c>
      <c r="N324" s="10">
        <f t="shared" si="22"/>
        <v>35.100000000034925</v>
      </c>
      <c r="O324" s="7" t="str">
        <f>IF(ISBLANK(I324),"N/A",IF(((I324-H324)*24)&gt;INDEX(Dim_ServiceType!$E$2:$E$16,MATCH(E324,Dim_ServiceType!$A$2:$A$16,0)),"Yes","No"))</f>
        <v>No</v>
      </c>
      <c r="P324" s="7" t="str">
        <f t="shared" si="23"/>
        <v>Closed</v>
      </c>
      <c r="Q324" s="6">
        <v>5</v>
      </c>
      <c r="R324" s="7" t="s">
        <v>196</v>
      </c>
    </row>
    <row r="325" spans="1:18" x14ac:dyDescent="0.35">
      <c r="A325" s="6">
        <v>324</v>
      </c>
      <c r="B325" s="7" t="s">
        <v>521</v>
      </c>
      <c r="C325" s="6">
        <v>8</v>
      </c>
      <c r="D325" s="6">
        <v>13</v>
      </c>
      <c r="E325" s="6">
        <v>6</v>
      </c>
      <c r="F325" s="6">
        <v>11</v>
      </c>
      <c r="G325" s="9">
        <v>45693.860694444498</v>
      </c>
      <c r="H325" s="9">
        <v>45694.360694444498</v>
      </c>
      <c r="I325" s="9">
        <v>45695.348194444399</v>
      </c>
      <c r="J325" s="9">
        <v>45695.431527777801</v>
      </c>
      <c r="K325" s="7" t="s">
        <v>192</v>
      </c>
      <c r="L325" s="10">
        <f t="shared" si="20"/>
        <v>12</v>
      </c>
      <c r="M325" s="10">
        <f t="shared" si="21"/>
        <v>23.699999997625127</v>
      </c>
      <c r="N325" s="10">
        <f t="shared" si="22"/>
        <v>37.699999999254942</v>
      </c>
      <c r="O325" s="7" t="str">
        <f>IF(ISBLANK(I325),"N/A",IF(((I325-H325)*24)&gt;INDEX(Dim_ServiceType!$E$2:$E$16,MATCH(E325,Dim_ServiceType!$A$2:$A$16,0)),"Yes","No"))</f>
        <v>No</v>
      </c>
      <c r="P325" s="7" t="str">
        <f t="shared" si="23"/>
        <v>Closed</v>
      </c>
      <c r="Q325" s="6">
        <v>3</v>
      </c>
      <c r="R325" s="7" t="s">
        <v>196</v>
      </c>
    </row>
    <row r="326" spans="1:18" x14ac:dyDescent="0.35">
      <c r="A326" s="6">
        <v>325</v>
      </c>
      <c r="B326" s="7" t="s">
        <v>522</v>
      </c>
      <c r="C326" s="6">
        <v>6</v>
      </c>
      <c r="D326" s="6">
        <v>9</v>
      </c>
      <c r="E326" s="6">
        <v>3</v>
      </c>
      <c r="F326" s="6">
        <v>7</v>
      </c>
      <c r="G326" s="9">
        <v>45754.870763888903</v>
      </c>
      <c r="H326" s="9">
        <v>45755.620763888903</v>
      </c>
      <c r="I326" s="9">
        <v>45756.024930555599</v>
      </c>
      <c r="J326" s="9">
        <v>45756.045763888898</v>
      </c>
      <c r="K326" s="7" t="s">
        <v>200</v>
      </c>
      <c r="L326" s="10">
        <f t="shared" si="20"/>
        <v>18</v>
      </c>
      <c r="M326" s="10">
        <f t="shared" si="21"/>
        <v>9.7000000007101335</v>
      </c>
      <c r="N326" s="10">
        <f t="shared" si="22"/>
        <v>28.199999999895226</v>
      </c>
      <c r="O326" s="7" t="str">
        <f>IF(ISBLANK(I326),"N/A",IF(((I326-H326)*24)&gt;INDEX(Dim_ServiceType!$E$2:$E$16,MATCH(E326,Dim_ServiceType!$A$2:$A$16,0)),"Yes","No"))</f>
        <v>Yes</v>
      </c>
      <c r="P326" s="7" t="str">
        <f t="shared" si="23"/>
        <v>Closed</v>
      </c>
      <c r="Q326" s="6">
        <v>4</v>
      </c>
      <c r="R326" s="7" t="s">
        <v>196</v>
      </c>
    </row>
    <row r="327" spans="1:18" x14ac:dyDescent="0.35">
      <c r="A327" s="6">
        <v>326</v>
      </c>
      <c r="B327" s="7" t="s">
        <v>523</v>
      </c>
      <c r="C327" s="6">
        <v>15</v>
      </c>
      <c r="D327" s="6">
        <v>14</v>
      </c>
      <c r="E327" s="6">
        <v>10</v>
      </c>
      <c r="F327" s="6">
        <v>3</v>
      </c>
      <c r="G327" s="9">
        <v>45737.460787037002</v>
      </c>
      <c r="H327" s="9">
        <v>45738.210787037002</v>
      </c>
      <c r="I327" s="9">
        <v>45738.4941203704</v>
      </c>
      <c r="J327" s="9">
        <v>45738.7441203704</v>
      </c>
      <c r="K327" s="7" t="s">
        <v>195</v>
      </c>
      <c r="L327" s="10">
        <f t="shared" si="20"/>
        <v>18</v>
      </c>
      <c r="M327" s="10">
        <f t="shared" si="21"/>
        <v>6.8000000015599653</v>
      </c>
      <c r="N327" s="10">
        <f t="shared" si="22"/>
        <v>30.800000001559965</v>
      </c>
      <c r="O327" s="7" t="str">
        <f>IF(ISBLANK(I327),"N/A",IF(((I327-H327)*24)&gt;INDEX(Dim_ServiceType!$E$2:$E$16,MATCH(E327,Dim_ServiceType!$A$2:$A$16,0)),"Yes","No"))</f>
        <v>Yes</v>
      </c>
      <c r="P327" s="7" t="str">
        <f t="shared" si="23"/>
        <v>Closed</v>
      </c>
      <c r="Q327" s="6">
        <v>3</v>
      </c>
      <c r="R327" s="7" t="s">
        <v>196</v>
      </c>
    </row>
    <row r="328" spans="1:18" x14ac:dyDescent="0.35">
      <c r="A328" s="6">
        <v>327</v>
      </c>
      <c r="B328" s="7" t="s">
        <v>524</v>
      </c>
      <c r="C328" s="6">
        <v>14</v>
      </c>
      <c r="D328" s="6">
        <v>11</v>
      </c>
      <c r="E328" s="6">
        <v>5</v>
      </c>
      <c r="F328" s="6">
        <v>11</v>
      </c>
      <c r="G328" s="9">
        <v>45892.210416666698</v>
      </c>
      <c r="H328" s="9">
        <v>45892.335416666698</v>
      </c>
      <c r="I328" s="9">
        <v>45892.831250000003</v>
      </c>
      <c r="J328" s="9">
        <v>45892.872916666704</v>
      </c>
      <c r="K328" s="7" t="s">
        <v>200</v>
      </c>
      <c r="L328" s="10">
        <f t="shared" si="20"/>
        <v>3</v>
      </c>
      <c r="M328" s="10">
        <f t="shared" si="21"/>
        <v>11.899999999324791</v>
      </c>
      <c r="N328" s="10">
        <f t="shared" si="22"/>
        <v>15.900000000139698</v>
      </c>
      <c r="O328" s="7" t="str">
        <f>IF(ISBLANK(I328),"N/A",IF(((I328-H328)*24)&gt;INDEX(Dim_ServiceType!$E$2:$E$16,MATCH(E328,Dim_ServiceType!$A$2:$A$16,0)),"Yes","No"))</f>
        <v>No</v>
      </c>
      <c r="P328" s="7" t="str">
        <f t="shared" si="23"/>
        <v>Closed</v>
      </c>
      <c r="Q328" s="6">
        <v>5</v>
      </c>
      <c r="R328" s="7" t="s">
        <v>196</v>
      </c>
    </row>
    <row r="329" spans="1:18" x14ac:dyDescent="0.35">
      <c r="A329" s="6">
        <v>328</v>
      </c>
      <c r="B329" s="7" t="s">
        <v>525</v>
      </c>
      <c r="C329" s="6">
        <v>9</v>
      </c>
      <c r="D329" s="6">
        <v>12</v>
      </c>
      <c r="E329" s="6">
        <v>9</v>
      </c>
      <c r="F329" s="6">
        <v>4</v>
      </c>
      <c r="G329" s="9">
        <v>45765.264999999999</v>
      </c>
      <c r="H329" s="9">
        <v>45765.3066666667</v>
      </c>
      <c r="I329" s="9">
        <v>45767.964999999997</v>
      </c>
      <c r="J329" s="9">
        <v>45768.214999999997</v>
      </c>
      <c r="K329" s="7" t="s">
        <v>198</v>
      </c>
      <c r="L329" s="10">
        <f t="shared" si="20"/>
        <v>1.0000000008149073</v>
      </c>
      <c r="M329" s="10">
        <f t="shared" si="21"/>
        <v>63.799999999115244</v>
      </c>
      <c r="N329" s="10">
        <f t="shared" si="22"/>
        <v>70.799999999930151</v>
      </c>
      <c r="O329" s="7" t="str">
        <f>IF(ISBLANK(I329),"N/A",IF(((I329-H329)*24)&gt;INDEX(Dim_ServiceType!$E$2:$E$16,MATCH(E329,Dim_ServiceType!$A$2:$A$16,0)),"Yes","No"))</f>
        <v>No</v>
      </c>
      <c r="P329" s="7" t="str">
        <f t="shared" si="23"/>
        <v>Closed</v>
      </c>
      <c r="Q329" s="6">
        <v>5</v>
      </c>
      <c r="R329" s="7" t="s">
        <v>196</v>
      </c>
    </row>
    <row r="330" spans="1:18" x14ac:dyDescent="0.35">
      <c r="A330" s="6">
        <v>329</v>
      </c>
      <c r="B330" s="7" t="s">
        <v>526</v>
      </c>
      <c r="C330" s="6">
        <v>9</v>
      </c>
      <c r="D330" s="6">
        <v>9</v>
      </c>
      <c r="E330" s="6">
        <v>3</v>
      </c>
      <c r="F330" s="6">
        <v>1</v>
      </c>
      <c r="G330" s="9">
        <v>45820.786400463003</v>
      </c>
      <c r="H330" s="9">
        <v>45820.828067129602</v>
      </c>
      <c r="I330" s="9">
        <v>45821.061400462997</v>
      </c>
      <c r="J330" s="9">
        <v>45821.561400462997</v>
      </c>
      <c r="K330" s="7" t="s">
        <v>195</v>
      </c>
      <c r="L330" s="10">
        <f t="shared" si="20"/>
        <v>0.99999999837018549</v>
      </c>
      <c r="M330" s="10">
        <f t="shared" si="21"/>
        <v>5.6000000014901161</v>
      </c>
      <c r="N330" s="10">
        <f t="shared" si="22"/>
        <v>18.599999999860302</v>
      </c>
      <c r="O330" s="7" t="str">
        <f>IF(ISBLANK(I330),"N/A",IF(((I330-H330)*24)&gt;INDEX(Dim_ServiceType!$E$2:$E$16,MATCH(E330,Dim_ServiceType!$A$2:$A$16,0)),"Yes","No"))</f>
        <v>No</v>
      </c>
      <c r="P330" s="7" t="str">
        <f t="shared" si="23"/>
        <v>Closed</v>
      </c>
      <c r="Q330" s="6">
        <v>4</v>
      </c>
      <c r="R330" s="7" t="s">
        <v>196</v>
      </c>
    </row>
    <row r="331" spans="1:18" x14ac:dyDescent="0.35">
      <c r="A331" s="6">
        <v>330</v>
      </c>
      <c r="B331" s="7" t="s">
        <v>527</v>
      </c>
      <c r="C331" s="6">
        <v>15</v>
      </c>
      <c r="D331" s="6">
        <v>15</v>
      </c>
      <c r="E331" s="6">
        <v>10</v>
      </c>
      <c r="F331" s="6">
        <v>5</v>
      </c>
      <c r="G331" s="9">
        <v>45878.093865740702</v>
      </c>
      <c r="H331" s="9">
        <v>45878.218865740702</v>
      </c>
      <c r="I331" s="9">
        <v>45878.506365740701</v>
      </c>
      <c r="J331" s="9">
        <v>45879.506365740701</v>
      </c>
      <c r="K331" s="7" t="s">
        <v>198</v>
      </c>
      <c r="L331" s="10">
        <f t="shared" si="20"/>
        <v>3</v>
      </c>
      <c r="M331" s="10">
        <f t="shared" si="21"/>
        <v>6.8999999999650754</v>
      </c>
      <c r="N331" s="10">
        <f t="shared" si="22"/>
        <v>33.899999999965075</v>
      </c>
      <c r="O331" s="7" t="str">
        <f>IF(ISBLANK(I331),"N/A",IF(((I331-H331)*24)&gt;INDEX(Dim_ServiceType!$E$2:$E$16,MATCH(E331,Dim_ServiceType!$A$2:$A$16,0)),"Yes","No"))</f>
        <v>Yes</v>
      </c>
      <c r="P331" s="7" t="str">
        <f t="shared" si="23"/>
        <v>Closed</v>
      </c>
      <c r="Q331" s="6">
        <v>4</v>
      </c>
      <c r="R331" s="7" t="s">
        <v>193</v>
      </c>
    </row>
    <row r="332" spans="1:18" x14ac:dyDescent="0.35">
      <c r="A332" s="6">
        <v>331</v>
      </c>
      <c r="B332" s="7" t="s">
        <v>528</v>
      </c>
      <c r="C332" s="6">
        <v>5</v>
      </c>
      <c r="D332" s="6">
        <v>11</v>
      </c>
      <c r="E332" s="6">
        <v>10</v>
      </c>
      <c r="F332" s="6">
        <v>10</v>
      </c>
      <c r="G332" s="9">
        <v>45783.326759259297</v>
      </c>
      <c r="H332" s="9">
        <v>45783.576759259297</v>
      </c>
      <c r="I332" s="9">
        <v>45783.689259259299</v>
      </c>
      <c r="J332" s="9">
        <v>45784.189259259299</v>
      </c>
      <c r="K332" s="7" t="s">
        <v>192</v>
      </c>
      <c r="L332" s="10">
        <f t="shared" si="20"/>
        <v>6</v>
      </c>
      <c r="M332" s="10">
        <f t="shared" si="21"/>
        <v>2.7000000000698492</v>
      </c>
      <c r="N332" s="10">
        <f t="shared" si="22"/>
        <v>20.700000000069849</v>
      </c>
      <c r="O332" s="7" t="str">
        <f>IF(ISBLANK(I332),"N/A",IF(((I332-H332)*24)&gt;INDEX(Dim_ServiceType!$E$2:$E$16,MATCH(E332,Dim_ServiceType!$A$2:$A$16,0)),"Yes","No"))</f>
        <v>No</v>
      </c>
      <c r="P332" s="7" t="str">
        <f t="shared" si="23"/>
        <v>Closed</v>
      </c>
      <c r="Q332" s="6">
        <v>4</v>
      </c>
      <c r="R332" s="7" t="s">
        <v>196</v>
      </c>
    </row>
    <row r="333" spans="1:18" x14ac:dyDescent="0.35">
      <c r="A333" s="6">
        <v>332</v>
      </c>
      <c r="B333" s="7" t="s">
        <v>529</v>
      </c>
      <c r="C333" s="6">
        <v>11</v>
      </c>
      <c r="D333" s="6">
        <v>7</v>
      </c>
      <c r="E333" s="6">
        <v>4</v>
      </c>
      <c r="F333" s="6">
        <v>15</v>
      </c>
      <c r="G333" s="9">
        <v>45684.579317129603</v>
      </c>
      <c r="H333" s="9">
        <v>45684.829317129603</v>
      </c>
      <c r="I333" s="9">
        <v>45685.995983796303</v>
      </c>
      <c r="J333" s="9">
        <v>45686.995983796303</v>
      </c>
      <c r="K333" s="7" t="s">
        <v>207</v>
      </c>
      <c r="L333" s="10">
        <f t="shared" si="20"/>
        <v>6</v>
      </c>
      <c r="M333" s="10">
        <f t="shared" si="21"/>
        <v>28.000000000814907</v>
      </c>
      <c r="N333" s="10">
        <f t="shared" si="22"/>
        <v>58.000000000814907</v>
      </c>
      <c r="O333" s="7" t="str">
        <f>IF(ISBLANK(I333),"N/A",IF(((I333-H333)*24)&gt;INDEX(Dim_ServiceType!$E$2:$E$16,MATCH(E333,Dim_ServiceType!$A$2:$A$16,0)),"Yes","No"))</f>
        <v>Yes</v>
      </c>
      <c r="P333" s="7" t="str">
        <f t="shared" si="23"/>
        <v>Closed</v>
      </c>
      <c r="Q333" s="6">
        <v>5</v>
      </c>
      <c r="R333" s="7" t="s">
        <v>196</v>
      </c>
    </row>
    <row r="334" spans="1:18" x14ac:dyDescent="0.35">
      <c r="A334" s="6">
        <v>333</v>
      </c>
      <c r="B334" s="7" t="s">
        <v>530</v>
      </c>
      <c r="C334" s="6">
        <v>11</v>
      </c>
      <c r="D334" s="6">
        <v>10</v>
      </c>
      <c r="E334" s="6">
        <v>2</v>
      </c>
      <c r="F334" s="6">
        <v>1</v>
      </c>
      <c r="G334" s="9">
        <v>45995.552499999998</v>
      </c>
      <c r="H334" s="9"/>
      <c r="I334" s="9"/>
      <c r="J334" s="9"/>
      <c r="K334" s="7" t="s">
        <v>198</v>
      </c>
      <c r="L334" s="10" t="str">
        <f t="shared" si="20"/>
        <v/>
      </c>
      <c r="M334" s="10" t="str">
        <f t="shared" si="21"/>
        <v/>
      </c>
      <c r="N334" s="10" t="str">
        <f t="shared" si="22"/>
        <v/>
      </c>
      <c r="O334" s="7" t="str">
        <f>IF(ISBLANK(I334),"N/A",IF(((I334-H334)*24)&gt;INDEX(Dim_ServiceType!$E$2:$E$16,MATCH(E334,Dim_ServiceType!$A$2:$A$16,0)),"Yes","No"))</f>
        <v>N/A</v>
      </c>
      <c r="P334" s="7" t="str">
        <f t="shared" si="23"/>
        <v>Open (Unassigned)</v>
      </c>
      <c r="Q334" s="6"/>
      <c r="R334" s="7"/>
    </row>
    <row r="335" spans="1:18" x14ac:dyDescent="0.35">
      <c r="A335" s="6">
        <v>334</v>
      </c>
      <c r="B335" s="7" t="s">
        <v>531</v>
      </c>
      <c r="C335" s="6">
        <v>13</v>
      </c>
      <c r="D335" s="6">
        <v>11</v>
      </c>
      <c r="E335" s="6">
        <v>7</v>
      </c>
      <c r="F335" s="6">
        <v>1</v>
      </c>
      <c r="G335" s="9">
        <v>45780.389803240701</v>
      </c>
      <c r="H335" s="9">
        <v>45780.723136574103</v>
      </c>
      <c r="I335" s="9"/>
      <c r="J335" s="9"/>
      <c r="K335" s="7" t="s">
        <v>200</v>
      </c>
      <c r="L335" s="10">
        <f t="shared" si="20"/>
        <v>8.0000000016298145</v>
      </c>
      <c r="M335" s="10" t="str">
        <f t="shared" si="21"/>
        <v/>
      </c>
      <c r="N335" s="10" t="str">
        <f t="shared" si="22"/>
        <v/>
      </c>
      <c r="O335" s="7" t="str">
        <f>IF(ISBLANK(I335),"N/A",IF(((I335-H335)*24)&gt;INDEX(Dim_ServiceType!$E$2:$E$16,MATCH(E335,Dim_ServiceType!$A$2:$A$16,0)),"Yes","No"))</f>
        <v>N/A</v>
      </c>
      <c r="P335" s="7" t="str">
        <f t="shared" si="23"/>
        <v>In Progress</v>
      </c>
      <c r="Q335" s="6"/>
      <c r="R335" s="7"/>
    </row>
    <row r="336" spans="1:18" x14ac:dyDescent="0.35">
      <c r="A336" s="6">
        <v>335</v>
      </c>
      <c r="B336" s="7" t="s">
        <v>532</v>
      </c>
      <c r="C336" s="6">
        <v>3</v>
      </c>
      <c r="D336" s="6">
        <v>4</v>
      </c>
      <c r="E336" s="6">
        <v>2</v>
      </c>
      <c r="F336" s="6">
        <v>11</v>
      </c>
      <c r="G336" s="9">
        <v>45949.567581018498</v>
      </c>
      <c r="H336" s="9">
        <v>45949.609247685199</v>
      </c>
      <c r="I336" s="9">
        <v>45949.846747685202</v>
      </c>
      <c r="J336" s="9">
        <v>45949.888414351903</v>
      </c>
      <c r="K336" s="7" t="s">
        <v>198</v>
      </c>
      <c r="L336" s="10">
        <f t="shared" si="20"/>
        <v>1.0000000008149073</v>
      </c>
      <c r="M336" s="10">
        <f t="shared" si="21"/>
        <v>5.7000000000698492</v>
      </c>
      <c r="N336" s="10">
        <f t="shared" si="22"/>
        <v>7.7000000016996637</v>
      </c>
      <c r="O336" s="7" t="str">
        <f>IF(ISBLANK(I336),"N/A",IF(((I336-H336)*24)&gt;INDEX(Dim_ServiceType!$E$2:$E$16,MATCH(E336,Dim_ServiceType!$A$2:$A$16,0)),"Yes","No"))</f>
        <v>No</v>
      </c>
      <c r="P336" s="7" t="str">
        <f t="shared" si="23"/>
        <v>Closed</v>
      </c>
      <c r="Q336" s="6">
        <v>4</v>
      </c>
      <c r="R336" s="7" t="s">
        <v>196</v>
      </c>
    </row>
    <row r="337" spans="1:18" x14ac:dyDescent="0.35">
      <c r="A337" s="6">
        <v>336</v>
      </c>
      <c r="B337" s="7" t="s">
        <v>533</v>
      </c>
      <c r="C337" s="6">
        <v>13</v>
      </c>
      <c r="D337" s="6">
        <v>2</v>
      </c>
      <c r="E337" s="6">
        <v>8</v>
      </c>
      <c r="F337" s="6">
        <v>2</v>
      </c>
      <c r="G337" s="9">
        <v>45667.439004629603</v>
      </c>
      <c r="H337" s="9">
        <v>45667.459837962997</v>
      </c>
      <c r="I337" s="9"/>
      <c r="J337" s="9"/>
      <c r="K337" s="7" t="s">
        <v>192</v>
      </c>
      <c r="L337" s="10">
        <f t="shared" si="20"/>
        <v>0.50000000145519152</v>
      </c>
      <c r="M337" s="10" t="str">
        <f t="shared" si="21"/>
        <v/>
      </c>
      <c r="N337" s="10" t="str">
        <f t="shared" si="22"/>
        <v/>
      </c>
      <c r="O337" s="7" t="str">
        <f>IF(ISBLANK(I337),"N/A",IF(((I337-H337)*24)&gt;INDEX(Dim_ServiceType!$E$2:$E$16,MATCH(E337,Dim_ServiceType!$A$2:$A$16,0)),"Yes","No"))</f>
        <v>N/A</v>
      </c>
      <c r="P337" s="7" t="str">
        <f t="shared" si="23"/>
        <v>In Progress</v>
      </c>
      <c r="Q337" s="6"/>
      <c r="R337" s="7"/>
    </row>
    <row r="338" spans="1:18" x14ac:dyDescent="0.35">
      <c r="A338" s="6">
        <v>337</v>
      </c>
      <c r="B338" s="7" t="s">
        <v>534</v>
      </c>
      <c r="C338" s="6">
        <v>13</v>
      </c>
      <c r="D338" s="6">
        <v>2</v>
      </c>
      <c r="E338" s="6">
        <v>12</v>
      </c>
      <c r="F338" s="6">
        <v>14</v>
      </c>
      <c r="G338" s="9">
        <v>45775.619988425897</v>
      </c>
      <c r="H338" s="9">
        <v>45775.640821759298</v>
      </c>
      <c r="I338" s="9">
        <v>45776.390821759298</v>
      </c>
      <c r="J338" s="9">
        <v>45776.557488425897</v>
      </c>
      <c r="K338" s="7" t="s">
        <v>200</v>
      </c>
      <c r="L338" s="10">
        <f t="shared" si="20"/>
        <v>0.50000000162981451</v>
      </c>
      <c r="M338" s="10">
        <f t="shared" si="21"/>
        <v>18</v>
      </c>
      <c r="N338" s="10">
        <f t="shared" si="22"/>
        <v>22.5</v>
      </c>
      <c r="O338" s="7" t="str">
        <f>IF(ISBLANK(I338),"N/A",IF(((I338-H338)*24)&gt;INDEX(Dim_ServiceType!$E$2:$E$16,MATCH(E338,Dim_ServiceType!$A$2:$A$16,0)),"Yes","No"))</f>
        <v>No</v>
      </c>
      <c r="P338" s="7" t="str">
        <f t="shared" si="23"/>
        <v>Closed</v>
      </c>
      <c r="Q338" s="6">
        <v>5</v>
      </c>
      <c r="R338" s="7" t="s">
        <v>196</v>
      </c>
    </row>
    <row r="339" spans="1:18" x14ac:dyDescent="0.35">
      <c r="A339" s="6">
        <v>338</v>
      </c>
      <c r="B339" s="7" t="s">
        <v>535</v>
      </c>
      <c r="C339" s="6">
        <v>15</v>
      </c>
      <c r="D339" s="6">
        <v>4</v>
      </c>
      <c r="E339" s="6">
        <v>6</v>
      </c>
      <c r="F339" s="6">
        <v>5</v>
      </c>
      <c r="G339" s="9">
        <v>45788.895648148202</v>
      </c>
      <c r="H339" s="9">
        <v>45789.895648148202</v>
      </c>
      <c r="I339" s="9">
        <v>45790.9331481482</v>
      </c>
      <c r="J339" s="9">
        <v>45791.1831481482</v>
      </c>
      <c r="K339" s="7" t="s">
        <v>195</v>
      </c>
      <c r="L339" s="10">
        <f t="shared" si="20"/>
        <v>24</v>
      </c>
      <c r="M339" s="10">
        <f t="shared" si="21"/>
        <v>24.899999999965075</v>
      </c>
      <c r="N339" s="10">
        <f t="shared" si="22"/>
        <v>54.899999999965075</v>
      </c>
      <c r="O339" s="7" t="str">
        <f>IF(ISBLANK(I339),"N/A",IF(((I339-H339)*24)&gt;INDEX(Dim_ServiceType!$E$2:$E$16,MATCH(E339,Dim_ServiceType!$A$2:$A$16,0)),"Yes","No"))</f>
        <v>No</v>
      </c>
      <c r="P339" s="7" t="str">
        <f t="shared" si="23"/>
        <v>Closed</v>
      </c>
      <c r="Q339" s="6">
        <v>3</v>
      </c>
      <c r="R339" s="7" t="s">
        <v>193</v>
      </c>
    </row>
    <row r="340" spans="1:18" x14ac:dyDescent="0.35">
      <c r="A340" s="6">
        <v>339</v>
      </c>
      <c r="B340" s="7" t="s">
        <v>536</v>
      </c>
      <c r="C340" s="6">
        <v>9</v>
      </c>
      <c r="D340" s="6">
        <v>3</v>
      </c>
      <c r="E340" s="6">
        <v>13</v>
      </c>
      <c r="F340" s="6">
        <v>15</v>
      </c>
      <c r="G340" s="9">
        <v>45791.023229166698</v>
      </c>
      <c r="H340" s="9">
        <v>45791.523229166698</v>
      </c>
      <c r="I340" s="9"/>
      <c r="J340" s="9"/>
      <c r="K340" s="7" t="s">
        <v>207</v>
      </c>
      <c r="L340" s="10">
        <f t="shared" si="20"/>
        <v>12</v>
      </c>
      <c r="M340" s="10" t="str">
        <f t="shared" si="21"/>
        <v/>
      </c>
      <c r="N340" s="10" t="str">
        <f t="shared" si="22"/>
        <v/>
      </c>
      <c r="O340" s="7" t="str">
        <f>IF(ISBLANK(I340),"N/A",IF(((I340-H340)*24)&gt;INDEX(Dim_ServiceType!$E$2:$E$16,MATCH(E340,Dim_ServiceType!$A$2:$A$16,0)),"Yes","No"))</f>
        <v>N/A</v>
      </c>
      <c r="P340" s="7" t="str">
        <f t="shared" si="23"/>
        <v>In Progress</v>
      </c>
      <c r="Q340" s="6"/>
      <c r="R340" s="7"/>
    </row>
    <row r="341" spans="1:18" x14ac:dyDescent="0.35">
      <c r="A341" s="6">
        <v>340</v>
      </c>
      <c r="B341" s="7" t="s">
        <v>537</v>
      </c>
      <c r="C341" s="6">
        <v>3</v>
      </c>
      <c r="D341" s="6">
        <v>3</v>
      </c>
      <c r="E341" s="6">
        <v>13</v>
      </c>
      <c r="F341" s="6">
        <v>7</v>
      </c>
      <c r="G341" s="9">
        <v>45960.2015972222</v>
      </c>
      <c r="H341" s="9">
        <v>45960.3682638889</v>
      </c>
      <c r="I341" s="9">
        <v>45961.0140972222</v>
      </c>
      <c r="J341" s="9">
        <v>45961.0557638889</v>
      </c>
      <c r="K341" s="7" t="s">
        <v>198</v>
      </c>
      <c r="L341" s="10">
        <f t="shared" si="20"/>
        <v>4.0000000008149073</v>
      </c>
      <c r="M341" s="10">
        <f t="shared" si="21"/>
        <v>15.499999999185093</v>
      </c>
      <c r="N341" s="10">
        <f t="shared" si="22"/>
        <v>20.500000000814907</v>
      </c>
      <c r="O341" s="7" t="str">
        <f>IF(ISBLANK(I341),"N/A",IF(((I341-H341)*24)&gt;INDEX(Dim_ServiceType!$E$2:$E$16,MATCH(E341,Dim_ServiceType!$A$2:$A$16,0)),"Yes","No"))</f>
        <v>No</v>
      </c>
      <c r="P341" s="7" t="str">
        <f t="shared" si="23"/>
        <v>Closed</v>
      </c>
      <c r="Q341" s="6">
        <v>3</v>
      </c>
      <c r="R341" s="7" t="s">
        <v>196</v>
      </c>
    </row>
    <row r="342" spans="1:18" x14ac:dyDescent="0.35">
      <c r="A342" s="6">
        <v>341</v>
      </c>
      <c r="B342" s="7" t="s">
        <v>538</v>
      </c>
      <c r="C342" s="6">
        <v>10</v>
      </c>
      <c r="D342" s="6">
        <v>6</v>
      </c>
      <c r="E342" s="6">
        <v>4</v>
      </c>
      <c r="F342" s="6">
        <v>3</v>
      </c>
      <c r="G342" s="9">
        <v>45896.661018518498</v>
      </c>
      <c r="H342" s="9">
        <v>45896.786018518498</v>
      </c>
      <c r="I342" s="9">
        <v>45897.9985185185</v>
      </c>
      <c r="J342" s="9">
        <v>45898.081851851901</v>
      </c>
      <c r="K342" s="7" t="s">
        <v>195</v>
      </c>
      <c r="L342" s="10">
        <f t="shared" si="20"/>
        <v>3</v>
      </c>
      <c r="M342" s="10">
        <f t="shared" si="21"/>
        <v>29.100000000034925</v>
      </c>
      <c r="N342" s="10">
        <f t="shared" si="22"/>
        <v>34.100000001664739</v>
      </c>
      <c r="O342" s="7" t="str">
        <f>IF(ISBLANK(I342),"N/A",IF(((I342-H342)*24)&gt;INDEX(Dim_ServiceType!$E$2:$E$16,MATCH(E342,Dim_ServiceType!$A$2:$A$16,0)),"Yes","No"))</f>
        <v>Yes</v>
      </c>
      <c r="P342" s="7" t="str">
        <f t="shared" si="23"/>
        <v>Closed</v>
      </c>
      <c r="Q342" s="6">
        <v>3</v>
      </c>
      <c r="R342" s="7" t="s">
        <v>196</v>
      </c>
    </row>
    <row r="343" spans="1:18" x14ac:dyDescent="0.35">
      <c r="A343" s="6">
        <v>342</v>
      </c>
      <c r="B343" s="7" t="s">
        <v>539</v>
      </c>
      <c r="C343" s="6">
        <v>2</v>
      </c>
      <c r="D343" s="6">
        <v>2</v>
      </c>
      <c r="E343" s="6">
        <v>6</v>
      </c>
      <c r="F343" s="6">
        <v>6</v>
      </c>
      <c r="G343" s="9">
        <v>45773.474548611099</v>
      </c>
      <c r="H343" s="9">
        <v>45773.724548611099</v>
      </c>
      <c r="I343" s="9">
        <v>45778.128715277802</v>
      </c>
      <c r="J343" s="9">
        <v>45778.378715277802</v>
      </c>
      <c r="K343" s="7" t="s">
        <v>198</v>
      </c>
      <c r="L343" s="10">
        <f t="shared" si="20"/>
        <v>6</v>
      </c>
      <c r="M343" s="10">
        <f t="shared" si="21"/>
        <v>105.70000000088476</v>
      </c>
      <c r="N343" s="10">
        <f t="shared" si="22"/>
        <v>117.70000000088476</v>
      </c>
      <c r="O343" s="7" t="str">
        <f>IF(ISBLANK(I343),"N/A",IF(((I343-H343)*24)&gt;INDEX(Dim_ServiceType!$E$2:$E$16,MATCH(E343,Dim_ServiceType!$A$2:$A$16,0)),"Yes","No"))</f>
        <v>Yes</v>
      </c>
      <c r="P343" s="7" t="str">
        <f t="shared" si="23"/>
        <v>Closed</v>
      </c>
      <c r="Q343" s="6">
        <v>4</v>
      </c>
      <c r="R343" s="7" t="s">
        <v>193</v>
      </c>
    </row>
    <row r="344" spans="1:18" x14ac:dyDescent="0.35">
      <c r="A344" s="6">
        <v>343</v>
      </c>
      <c r="B344" s="7" t="s">
        <v>540</v>
      </c>
      <c r="C344" s="6">
        <v>8</v>
      </c>
      <c r="D344" s="6">
        <v>1</v>
      </c>
      <c r="E344" s="6">
        <v>7</v>
      </c>
      <c r="F344" s="6">
        <v>2</v>
      </c>
      <c r="G344" s="9">
        <v>45822.996261574102</v>
      </c>
      <c r="H344" s="9">
        <v>45823.079594907402</v>
      </c>
      <c r="I344" s="9">
        <v>45823.521261574097</v>
      </c>
      <c r="J344" s="9">
        <v>45823.687928240703</v>
      </c>
      <c r="K344" s="7" t="s">
        <v>195</v>
      </c>
      <c r="L344" s="10">
        <f t="shared" si="20"/>
        <v>1.9999999991850927</v>
      </c>
      <c r="M344" s="10">
        <f t="shared" si="21"/>
        <v>10.600000000675209</v>
      </c>
      <c r="N344" s="10">
        <f t="shared" si="22"/>
        <v>16.59999999840511</v>
      </c>
      <c r="O344" s="7" t="str">
        <f>IF(ISBLANK(I344),"N/A",IF(((I344-H344)*24)&gt;INDEX(Dim_ServiceType!$E$2:$E$16,MATCH(E344,Dim_ServiceType!$A$2:$A$16,0)),"Yes","No"))</f>
        <v>No</v>
      </c>
      <c r="P344" s="7" t="str">
        <f t="shared" si="23"/>
        <v>Closed</v>
      </c>
      <c r="Q344" s="6">
        <v>1</v>
      </c>
      <c r="R344" s="7" t="s">
        <v>196</v>
      </c>
    </row>
    <row r="345" spans="1:18" x14ac:dyDescent="0.35">
      <c r="A345" s="6">
        <v>344</v>
      </c>
      <c r="B345" s="7" t="s">
        <v>541</v>
      </c>
      <c r="C345" s="6">
        <v>15</v>
      </c>
      <c r="D345" s="6">
        <v>15</v>
      </c>
      <c r="E345" s="6">
        <v>12</v>
      </c>
      <c r="F345" s="6">
        <v>12</v>
      </c>
      <c r="G345" s="9">
        <v>45995.144375000003</v>
      </c>
      <c r="H345" s="9"/>
      <c r="I345" s="9"/>
      <c r="J345" s="9"/>
      <c r="K345" s="7" t="s">
        <v>195</v>
      </c>
      <c r="L345" s="10" t="str">
        <f t="shared" si="20"/>
        <v/>
      </c>
      <c r="M345" s="10" t="str">
        <f t="shared" si="21"/>
        <v/>
      </c>
      <c r="N345" s="10" t="str">
        <f t="shared" si="22"/>
        <v/>
      </c>
      <c r="O345" s="7" t="str">
        <f>IF(ISBLANK(I345),"N/A",IF(((I345-H345)*24)&gt;INDEX(Dim_ServiceType!$E$2:$E$16,MATCH(E345,Dim_ServiceType!$A$2:$A$16,0)),"Yes","No"))</f>
        <v>N/A</v>
      </c>
      <c r="P345" s="7" t="str">
        <f t="shared" si="23"/>
        <v>Open (Unassigned)</v>
      </c>
      <c r="Q345" s="6"/>
      <c r="R345" s="7"/>
    </row>
    <row r="346" spans="1:18" x14ac:dyDescent="0.35">
      <c r="A346" s="6">
        <v>345</v>
      </c>
      <c r="B346" s="7" t="s">
        <v>542</v>
      </c>
      <c r="C346" s="6">
        <v>1</v>
      </c>
      <c r="D346" s="6">
        <v>13</v>
      </c>
      <c r="E346" s="6">
        <v>4</v>
      </c>
      <c r="F346" s="6">
        <v>7</v>
      </c>
      <c r="G346" s="9">
        <v>45732.981111111098</v>
      </c>
      <c r="H346" s="9">
        <v>45733.022777777798</v>
      </c>
      <c r="I346" s="9">
        <v>45734.106111111098</v>
      </c>
      <c r="J346" s="9">
        <v>45734.126944444499</v>
      </c>
      <c r="K346" s="7" t="s">
        <v>198</v>
      </c>
      <c r="L346" s="10">
        <f t="shared" si="20"/>
        <v>1.0000000008149073</v>
      </c>
      <c r="M346" s="10">
        <f t="shared" si="21"/>
        <v>25.999999999185093</v>
      </c>
      <c r="N346" s="10">
        <f t="shared" si="22"/>
        <v>27.500000001629815</v>
      </c>
      <c r="O346" s="7" t="str">
        <f>IF(ISBLANK(I346),"N/A",IF(((I346-H346)*24)&gt;INDEX(Dim_ServiceType!$E$2:$E$16,MATCH(E346,Dim_ServiceType!$A$2:$A$16,0)),"Yes","No"))</f>
        <v>Yes</v>
      </c>
      <c r="P346" s="7" t="str">
        <f t="shared" si="23"/>
        <v>Closed</v>
      </c>
      <c r="Q346" s="6">
        <v>4</v>
      </c>
      <c r="R346" s="7" t="s">
        <v>196</v>
      </c>
    </row>
    <row r="347" spans="1:18" x14ac:dyDescent="0.35">
      <c r="A347" s="6">
        <v>346</v>
      </c>
      <c r="B347" s="7" t="s">
        <v>543</v>
      </c>
      <c r="C347" s="6">
        <v>4</v>
      </c>
      <c r="D347" s="6">
        <v>9</v>
      </c>
      <c r="E347" s="6">
        <v>1</v>
      </c>
      <c r="F347" s="6">
        <v>6</v>
      </c>
      <c r="G347" s="9">
        <v>45754.955763888902</v>
      </c>
      <c r="H347" s="9">
        <v>45755.205763888902</v>
      </c>
      <c r="I347" s="9">
        <v>45755.255763888897</v>
      </c>
      <c r="J347" s="9">
        <v>45755.339097222197</v>
      </c>
      <c r="K347" s="7" t="s">
        <v>195</v>
      </c>
      <c r="L347" s="10">
        <f t="shared" si="20"/>
        <v>6</v>
      </c>
      <c r="M347" s="10">
        <f t="shared" si="21"/>
        <v>1.1999999998952262</v>
      </c>
      <c r="N347" s="10">
        <f t="shared" si="22"/>
        <v>9.199999999080319</v>
      </c>
      <c r="O347" s="7" t="str">
        <f>IF(ISBLANK(I347),"N/A",IF(((I347-H347)*24)&gt;INDEX(Dim_ServiceType!$E$2:$E$16,MATCH(E347,Dim_ServiceType!$A$2:$A$16,0)),"Yes","No"))</f>
        <v>No</v>
      </c>
      <c r="P347" s="7" t="str">
        <f t="shared" si="23"/>
        <v>Closed</v>
      </c>
      <c r="Q347" s="6">
        <v>5</v>
      </c>
      <c r="R347" s="7" t="s">
        <v>193</v>
      </c>
    </row>
    <row r="348" spans="1:18" x14ac:dyDescent="0.35">
      <c r="A348" s="6">
        <v>347</v>
      </c>
      <c r="B348" s="7" t="s">
        <v>544</v>
      </c>
      <c r="C348" s="6">
        <v>9</v>
      </c>
      <c r="D348" s="6">
        <v>4</v>
      </c>
      <c r="E348" s="6">
        <v>10</v>
      </c>
      <c r="F348" s="6">
        <v>10</v>
      </c>
      <c r="G348" s="9">
        <v>45782.078946759299</v>
      </c>
      <c r="H348" s="9">
        <v>45782.162280092598</v>
      </c>
      <c r="I348" s="9">
        <v>45782.399780092601</v>
      </c>
      <c r="J348" s="9">
        <v>45783.399780092601</v>
      </c>
      <c r="K348" s="7" t="s">
        <v>198</v>
      </c>
      <c r="L348" s="10">
        <f t="shared" si="20"/>
        <v>1.9999999991850927</v>
      </c>
      <c r="M348" s="10">
        <f t="shared" si="21"/>
        <v>5.7000000000698492</v>
      </c>
      <c r="N348" s="10">
        <f t="shared" si="22"/>
        <v>31.699999999254942</v>
      </c>
      <c r="O348" s="7" t="str">
        <f>IF(ISBLANK(I348),"N/A",IF(((I348-H348)*24)&gt;INDEX(Dim_ServiceType!$E$2:$E$16,MATCH(E348,Dim_ServiceType!$A$2:$A$16,0)),"Yes","No"))</f>
        <v>No</v>
      </c>
      <c r="P348" s="7" t="str">
        <f t="shared" si="23"/>
        <v>Closed</v>
      </c>
      <c r="Q348" s="6">
        <v>4</v>
      </c>
      <c r="R348" s="7" t="s">
        <v>196</v>
      </c>
    </row>
    <row r="349" spans="1:18" x14ac:dyDescent="0.35">
      <c r="A349" s="6">
        <v>348</v>
      </c>
      <c r="B349" s="7" t="s">
        <v>545</v>
      </c>
      <c r="C349" s="6">
        <v>12</v>
      </c>
      <c r="D349" s="6">
        <v>11</v>
      </c>
      <c r="E349" s="6">
        <v>8</v>
      </c>
      <c r="F349" s="6">
        <v>10</v>
      </c>
      <c r="G349" s="9">
        <v>45662.412997685198</v>
      </c>
      <c r="H349" s="9">
        <v>45662.579664351899</v>
      </c>
      <c r="I349" s="9">
        <v>45663.692164351902</v>
      </c>
      <c r="J349" s="9">
        <v>45663.942164351902</v>
      </c>
      <c r="K349" s="7" t="s">
        <v>195</v>
      </c>
      <c r="L349" s="10">
        <f t="shared" si="20"/>
        <v>4.0000000008149073</v>
      </c>
      <c r="M349" s="10">
        <f t="shared" si="21"/>
        <v>26.700000000069849</v>
      </c>
      <c r="N349" s="10">
        <f t="shared" si="22"/>
        <v>36.700000000884756</v>
      </c>
      <c r="O349" s="7" t="str">
        <f>IF(ISBLANK(I349),"N/A",IF(((I349-H349)*24)&gt;INDEX(Dim_ServiceType!$E$2:$E$16,MATCH(E349,Dim_ServiceType!$A$2:$A$16,0)),"Yes","No"))</f>
        <v>Yes</v>
      </c>
      <c r="P349" s="7" t="str">
        <f t="shared" si="23"/>
        <v>Closed</v>
      </c>
      <c r="Q349" s="6">
        <v>3</v>
      </c>
      <c r="R349" s="7" t="s">
        <v>196</v>
      </c>
    </row>
    <row r="350" spans="1:18" x14ac:dyDescent="0.35">
      <c r="A350" s="6">
        <v>349</v>
      </c>
      <c r="B350" s="7" t="s">
        <v>546</v>
      </c>
      <c r="C350" s="6">
        <v>6</v>
      </c>
      <c r="D350" s="6">
        <v>4</v>
      </c>
      <c r="E350" s="6">
        <v>3</v>
      </c>
      <c r="F350" s="6">
        <v>11</v>
      </c>
      <c r="G350" s="9">
        <v>45907.043321759302</v>
      </c>
      <c r="H350" s="9">
        <v>45907.209988425901</v>
      </c>
      <c r="I350" s="9">
        <v>45907.551655092597</v>
      </c>
      <c r="J350" s="9">
        <v>45908.051655092597</v>
      </c>
      <c r="K350" s="7" t="s">
        <v>192</v>
      </c>
      <c r="L350" s="10">
        <f t="shared" si="20"/>
        <v>3.9999999983701855</v>
      </c>
      <c r="M350" s="10">
        <f t="shared" si="21"/>
        <v>8.2000000007101335</v>
      </c>
      <c r="N350" s="10">
        <f t="shared" si="22"/>
        <v>24.199999999080319</v>
      </c>
      <c r="O350" s="7" t="str">
        <f>IF(ISBLANK(I350),"N/A",IF(((I350-H350)*24)&gt;INDEX(Dim_ServiceType!$E$2:$E$16,MATCH(E350,Dim_ServiceType!$A$2:$A$16,0)),"Yes","No"))</f>
        <v>Yes</v>
      </c>
      <c r="P350" s="7" t="str">
        <f t="shared" si="23"/>
        <v>Closed</v>
      </c>
      <c r="Q350" s="6">
        <v>1</v>
      </c>
      <c r="R350" s="7" t="s">
        <v>196</v>
      </c>
    </row>
    <row r="351" spans="1:18" x14ac:dyDescent="0.35">
      <c r="A351" s="6">
        <v>350</v>
      </c>
      <c r="B351" s="7" t="s">
        <v>547</v>
      </c>
      <c r="C351" s="6">
        <v>11</v>
      </c>
      <c r="D351" s="6">
        <v>12</v>
      </c>
      <c r="E351" s="6">
        <v>13</v>
      </c>
      <c r="F351" s="6">
        <v>8</v>
      </c>
      <c r="G351" s="9">
        <v>45977.386493055601</v>
      </c>
      <c r="H351" s="9">
        <v>45977.4281597222</v>
      </c>
      <c r="I351" s="9">
        <v>45978.348993055602</v>
      </c>
      <c r="J351" s="9">
        <v>45978.515659722201</v>
      </c>
      <c r="K351" s="7" t="s">
        <v>195</v>
      </c>
      <c r="L351" s="10">
        <f t="shared" si="20"/>
        <v>0.99999999837018549</v>
      </c>
      <c r="M351" s="10">
        <f t="shared" si="21"/>
        <v>22.100000001664739</v>
      </c>
      <c r="N351" s="10">
        <f t="shared" si="22"/>
        <v>27.09999999840511</v>
      </c>
      <c r="O351" s="7" t="str">
        <f>IF(ISBLANK(I351),"N/A",IF(((I351-H351)*24)&gt;INDEX(Dim_ServiceType!$E$2:$E$16,MATCH(E351,Dim_ServiceType!$A$2:$A$16,0)),"Yes","No"))</f>
        <v>No</v>
      </c>
      <c r="P351" s="7" t="str">
        <f t="shared" si="23"/>
        <v>Closed</v>
      </c>
      <c r="Q351" s="6">
        <v>4</v>
      </c>
      <c r="R351" s="7" t="s">
        <v>196</v>
      </c>
    </row>
    <row r="352" spans="1:18" x14ac:dyDescent="0.35">
      <c r="A352" s="6">
        <v>351</v>
      </c>
      <c r="B352" s="7" t="s">
        <v>548</v>
      </c>
      <c r="C352" s="6">
        <v>14</v>
      </c>
      <c r="D352" s="6">
        <v>2</v>
      </c>
      <c r="E352" s="6">
        <v>13</v>
      </c>
      <c r="F352" s="6">
        <v>7</v>
      </c>
      <c r="G352" s="9">
        <v>45725.028784722199</v>
      </c>
      <c r="H352" s="9">
        <v>45725.278784722199</v>
      </c>
      <c r="I352" s="9">
        <v>45725.9246180556</v>
      </c>
      <c r="J352" s="9">
        <v>45725.9454513889</v>
      </c>
      <c r="K352" s="7" t="s">
        <v>195</v>
      </c>
      <c r="L352" s="10">
        <f t="shared" si="20"/>
        <v>6</v>
      </c>
      <c r="M352" s="10">
        <f t="shared" si="21"/>
        <v>15.500000001629815</v>
      </c>
      <c r="N352" s="10">
        <f t="shared" si="22"/>
        <v>22.000000000814907</v>
      </c>
      <c r="O352" s="7" t="str">
        <f>IF(ISBLANK(I352),"N/A",IF(((I352-H352)*24)&gt;INDEX(Dim_ServiceType!$E$2:$E$16,MATCH(E352,Dim_ServiceType!$A$2:$A$16,0)),"Yes","No"))</f>
        <v>No</v>
      </c>
      <c r="P352" s="7" t="str">
        <f t="shared" si="23"/>
        <v>Closed</v>
      </c>
      <c r="Q352" s="6">
        <v>4</v>
      </c>
      <c r="R352" s="7" t="s">
        <v>193</v>
      </c>
    </row>
    <row r="353" spans="1:18" x14ac:dyDescent="0.35">
      <c r="A353" s="6">
        <v>352</v>
      </c>
      <c r="B353" s="7" t="s">
        <v>549</v>
      </c>
      <c r="C353" s="6">
        <v>11</v>
      </c>
      <c r="D353" s="6">
        <v>12</v>
      </c>
      <c r="E353" s="6">
        <v>15</v>
      </c>
      <c r="F353" s="6">
        <v>8</v>
      </c>
      <c r="G353" s="9">
        <v>45849.704155092601</v>
      </c>
      <c r="H353" s="9">
        <v>45850.0374884259</v>
      </c>
      <c r="I353" s="9">
        <v>45851.024988425903</v>
      </c>
      <c r="J353" s="9">
        <v>45852.024988425903</v>
      </c>
      <c r="K353" s="7" t="s">
        <v>198</v>
      </c>
      <c r="L353" s="10">
        <f t="shared" si="20"/>
        <v>7.9999999991850927</v>
      </c>
      <c r="M353" s="10">
        <f t="shared" si="21"/>
        <v>23.700000000069849</v>
      </c>
      <c r="N353" s="10">
        <f t="shared" si="22"/>
        <v>55.699999999254942</v>
      </c>
      <c r="O353" s="7" t="str">
        <f>IF(ISBLANK(I353),"N/A",IF(((I353-H353)*24)&gt;INDEX(Dim_ServiceType!$E$2:$E$16,MATCH(E353,Dim_ServiceType!$A$2:$A$16,0)),"Yes","No"))</f>
        <v>No</v>
      </c>
      <c r="P353" s="7" t="str">
        <f t="shared" si="23"/>
        <v>Closed</v>
      </c>
      <c r="Q353" s="6">
        <v>4</v>
      </c>
      <c r="R353" s="7" t="s">
        <v>196</v>
      </c>
    </row>
    <row r="354" spans="1:18" x14ac:dyDescent="0.35">
      <c r="A354" s="6">
        <v>353</v>
      </c>
      <c r="B354" s="7" t="s">
        <v>550</v>
      </c>
      <c r="C354" s="6">
        <v>11</v>
      </c>
      <c r="D354" s="6">
        <v>14</v>
      </c>
      <c r="E354" s="6">
        <v>8</v>
      </c>
      <c r="F354" s="6">
        <v>8</v>
      </c>
      <c r="G354" s="9">
        <v>45852.3531828704</v>
      </c>
      <c r="H354" s="9">
        <v>45852.394849536999</v>
      </c>
      <c r="I354" s="9">
        <v>45852.578182870398</v>
      </c>
      <c r="J354" s="9">
        <v>45852.744849536997</v>
      </c>
      <c r="K354" s="7" t="s">
        <v>192</v>
      </c>
      <c r="L354" s="10">
        <f t="shared" si="20"/>
        <v>0.99999999837018549</v>
      </c>
      <c r="M354" s="10">
        <f t="shared" si="21"/>
        <v>4.4000000015948899</v>
      </c>
      <c r="N354" s="10">
        <f t="shared" si="22"/>
        <v>9.3999999983352609</v>
      </c>
      <c r="O354" s="7" t="str">
        <f>IF(ISBLANK(I354),"N/A",IF(((I354-H354)*24)&gt;INDEX(Dim_ServiceType!$E$2:$E$16,MATCH(E354,Dim_ServiceType!$A$2:$A$16,0)),"Yes","No"))</f>
        <v>No</v>
      </c>
      <c r="P354" s="7" t="str">
        <f t="shared" si="23"/>
        <v>Closed</v>
      </c>
      <c r="Q354" s="6">
        <v>4</v>
      </c>
      <c r="R354" s="7" t="s">
        <v>196</v>
      </c>
    </row>
    <row r="355" spans="1:18" x14ac:dyDescent="0.35">
      <c r="A355" s="6">
        <v>354</v>
      </c>
      <c r="B355" s="7" t="s">
        <v>551</v>
      </c>
      <c r="C355" s="6">
        <v>5</v>
      </c>
      <c r="D355" s="6">
        <v>13</v>
      </c>
      <c r="E355" s="6">
        <v>1</v>
      </c>
      <c r="F355" s="6">
        <v>8</v>
      </c>
      <c r="G355" s="9">
        <v>45813.097962963002</v>
      </c>
      <c r="H355" s="9">
        <v>45813.264629629601</v>
      </c>
      <c r="I355" s="9">
        <v>45813.335462962998</v>
      </c>
      <c r="J355" s="9">
        <v>45813.418796296297</v>
      </c>
      <c r="K355" s="7" t="s">
        <v>192</v>
      </c>
      <c r="L355" s="10">
        <f t="shared" si="20"/>
        <v>3.9999999983701855</v>
      </c>
      <c r="M355" s="10">
        <f t="shared" si="21"/>
        <v>1.7000000015250407</v>
      </c>
      <c r="N355" s="10">
        <f t="shared" si="22"/>
        <v>7.699999999080319</v>
      </c>
      <c r="O355" s="7" t="str">
        <f>IF(ISBLANK(I355),"N/A",IF(((I355-H355)*24)&gt;INDEX(Dim_ServiceType!$E$2:$E$16,MATCH(E355,Dim_ServiceType!$A$2:$A$16,0)),"Yes","No"))</f>
        <v>No</v>
      </c>
      <c r="P355" s="7" t="str">
        <f t="shared" si="23"/>
        <v>Closed</v>
      </c>
      <c r="Q355" s="6">
        <v>3</v>
      </c>
      <c r="R355" s="7" t="s">
        <v>196</v>
      </c>
    </row>
    <row r="356" spans="1:18" x14ac:dyDescent="0.35">
      <c r="A356" s="6">
        <v>355</v>
      </c>
      <c r="B356" s="7" t="s">
        <v>552</v>
      </c>
      <c r="C356" s="6">
        <v>14</v>
      </c>
      <c r="D356" s="6">
        <v>14</v>
      </c>
      <c r="E356" s="6">
        <v>15</v>
      </c>
      <c r="F356" s="6">
        <v>10</v>
      </c>
      <c r="G356" s="9">
        <v>45738.872222222199</v>
      </c>
      <c r="H356" s="9">
        <v>45739.038888888899</v>
      </c>
      <c r="I356" s="9"/>
      <c r="J356" s="9"/>
      <c r="K356" s="7" t="s">
        <v>198</v>
      </c>
      <c r="L356" s="10">
        <f t="shared" si="20"/>
        <v>4.0000000008149073</v>
      </c>
      <c r="M356" s="10" t="str">
        <f t="shared" si="21"/>
        <v/>
      </c>
      <c r="N356" s="10" t="str">
        <f t="shared" si="22"/>
        <v/>
      </c>
      <c r="O356" s="7" t="str">
        <f>IF(ISBLANK(I356),"N/A",IF(((I356-H356)*24)&gt;INDEX(Dim_ServiceType!$E$2:$E$16,MATCH(E356,Dim_ServiceType!$A$2:$A$16,0)),"Yes","No"))</f>
        <v>N/A</v>
      </c>
      <c r="P356" s="7" t="str">
        <f t="shared" si="23"/>
        <v>In Progress</v>
      </c>
      <c r="Q356" s="6"/>
      <c r="R356" s="7"/>
    </row>
    <row r="357" spans="1:18" x14ac:dyDescent="0.35">
      <c r="A357" s="6">
        <v>356</v>
      </c>
      <c r="B357" s="7" t="s">
        <v>553</v>
      </c>
      <c r="C357" s="6">
        <v>2</v>
      </c>
      <c r="D357" s="6">
        <v>4</v>
      </c>
      <c r="E357" s="6">
        <v>14</v>
      </c>
      <c r="F357" s="6">
        <v>1</v>
      </c>
      <c r="G357" s="9">
        <v>45796.527395833298</v>
      </c>
      <c r="H357" s="9">
        <v>45797.277395833298</v>
      </c>
      <c r="I357" s="9"/>
      <c r="J357" s="9"/>
      <c r="K357" s="7" t="s">
        <v>198</v>
      </c>
      <c r="L357" s="10">
        <f t="shared" si="20"/>
        <v>18</v>
      </c>
      <c r="M357" s="10" t="str">
        <f t="shared" si="21"/>
        <v/>
      </c>
      <c r="N357" s="10" t="str">
        <f t="shared" si="22"/>
        <v/>
      </c>
      <c r="O357" s="7" t="str">
        <f>IF(ISBLANK(I357),"N/A",IF(((I357-H357)*24)&gt;INDEX(Dim_ServiceType!$E$2:$E$16,MATCH(E357,Dim_ServiceType!$A$2:$A$16,0)),"Yes","No"))</f>
        <v>N/A</v>
      </c>
      <c r="P357" s="7" t="str">
        <f t="shared" si="23"/>
        <v>In Progress</v>
      </c>
      <c r="Q357" s="6"/>
      <c r="R357" s="7"/>
    </row>
    <row r="358" spans="1:18" x14ac:dyDescent="0.35">
      <c r="A358" s="6">
        <v>357</v>
      </c>
      <c r="B358" s="7" t="s">
        <v>554</v>
      </c>
      <c r="C358" s="6">
        <v>4</v>
      </c>
      <c r="D358" s="6">
        <v>11</v>
      </c>
      <c r="E358" s="6">
        <v>9</v>
      </c>
      <c r="F358" s="6">
        <v>11</v>
      </c>
      <c r="G358" s="9">
        <v>45749.910578703697</v>
      </c>
      <c r="H358" s="9">
        <v>45750.243912037004</v>
      </c>
      <c r="I358" s="9">
        <v>45753.5647453704</v>
      </c>
      <c r="J358" s="9">
        <v>45753.6480787037</v>
      </c>
      <c r="K358" s="7" t="s">
        <v>200</v>
      </c>
      <c r="L358" s="10">
        <f t="shared" si="20"/>
        <v>7.9999999993597157</v>
      </c>
      <c r="M358" s="10">
        <f t="shared" si="21"/>
        <v>79.700000001525041</v>
      </c>
      <c r="N358" s="10">
        <f t="shared" si="22"/>
        <v>89.700000000069849</v>
      </c>
      <c r="O358" s="7" t="str">
        <f>IF(ISBLANK(I358),"N/A",IF(((I358-H358)*24)&gt;INDEX(Dim_ServiceType!$E$2:$E$16,MATCH(E358,Dim_ServiceType!$A$2:$A$16,0)),"Yes","No"))</f>
        <v>Yes</v>
      </c>
      <c r="P358" s="7" t="str">
        <f t="shared" si="23"/>
        <v>Closed</v>
      </c>
      <c r="Q358" s="6">
        <v>5</v>
      </c>
      <c r="R358" s="7" t="s">
        <v>196</v>
      </c>
    </row>
    <row r="359" spans="1:18" x14ac:dyDescent="0.35">
      <c r="A359" s="6">
        <v>358</v>
      </c>
      <c r="B359" s="7" t="s">
        <v>555</v>
      </c>
      <c r="C359" s="6">
        <v>14</v>
      </c>
      <c r="D359" s="6">
        <v>3</v>
      </c>
      <c r="E359" s="6">
        <v>10</v>
      </c>
      <c r="F359" s="6">
        <v>2</v>
      </c>
      <c r="G359" s="9">
        <v>45869.186412037001</v>
      </c>
      <c r="H359" s="9">
        <v>45869.269745370402</v>
      </c>
      <c r="I359" s="9">
        <v>45869.478078703702</v>
      </c>
      <c r="J359" s="9">
        <v>45869.728078703702</v>
      </c>
      <c r="K359" s="7" t="s">
        <v>200</v>
      </c>
      <c r="L359" s="10">
        <f t="shared" si="20"/>
        <v>2.0000000016298145</v>
      </c>
      <c r="M359" s="10">
        <f t="shared" si="21"/>
        <v>4.9999999991850927</v>
      </c>
      <c r="N359" s="10">
        <f t="shared" si="22"/>
        <v>13.000000000814907</v>
      </c>
      <c r="O359" s="7" t="str">
        <f>IF(ISBLANK(I359),"N/A",IF(((I359-H359)*24)&gt;INDEX(Dim_ServiceType!$E$2:$E$16,MATCH(E359,Dim_ServiceType!$A$2:$A$16,0)),"Yes","No"))</f>
        <v>No</v>
      </c>
      <c r="P359" s="7" t="str">
        <f t="shared" si="23"/>
        <v>Closed</v>
      </c>
      <c r="Q359" s="6">
        <v>3</v>
      </c>
      <c r="R359" s="7" t="s">
        <v>196</v>
      </c>
    </row>
    <row r="360" spans="1:18" x14ac:dyDescent="0.35">
      <c r="A360" s="6">
        <v>359</v>
      </c>
      <c r="B360" s="7" t="s">
        <v>556</v>
      </c>
      <c r="C360" s="6">
        <v>10</v>
      </c>
      <c r="D360" s="6">
        <v>10</v>
      </c>
      <c r="E360" s="6">
        <v>7</v>
      </c>
      <c r="F360" s="6">
        <v>7</v>
      </c>
      <c r="G360" s="9">
        <v>45867.762164351901</v>
      </c>
      <c r="H360" s="9">
        <v>45868.762164351901</v>
      </c>
      <c r="I360" s="9">
        <v>45869.520497685196</v>
      </c>
      <c r="J360" s="9">
        <v>45869.687164351897</v>
      </c>
      <c r="K360" s="7" t="s">
        <v>198</v>
      </c>
      <c r="L360" s="10">
        <f t="shared" si="20"/>
        <v>24</v>
      </c>
      <c r="M360" s="10">
        <f t="shared" si="21"/>
        <v>18.199999999080319</v>
      </c>
      <c r="N360" s="10">
        <f t="shared" si="22"/>
        <v>46.199999999895226</v>
      </c>
      <c r="O360" s="7" t="str">
        <f>IF(ISBLANK(I360),"N/A",IF(((I360-H360)*24)&gt;INDEX(Dim_ServiceType!$E$2:$E$16,MATCH(E360,Dim_ServiceType!$A$2:$A$16,0)),"Yes","No"))</f>
        <v>No</v>
      </c>
      <c r="P360" s="7" t="str">
        <f t="shared" si="23"/>
        <v>Closed</v>
      </c>
      <c r="Q360" s="6">
        <v>5</v>
      </c>
      <c r="R360" s="7" t="s">
        <v>196</v>
      </c>
    </row>
    <row r="361" spans="1:18" x14ac:dyDescent="0.35">
      <c r="A361" s="6">
        <v>360</v>
      </c>
      <c r="B361" s="7" t="s">
        <v>557</v>
      </c>
      <c r="C361" s="6">
        <v>11</v>
      </c>
      <c r="D361" s="6">
        <v>9</v>
      </c>
      <c r="E361" s="6">
        <v>14</v>
      </c>
      <c r="F361" s="6">
        <v>9</v>
      </c>
      <c r="G361" s="9">
        <v>45844.215879629599</v>
      </c>
      <c r="H361" s="9">
        <v>45844.3825462963</v>
      </c>
      <c r="I361" s="9">
        <v>45844.645046296297</v>
      </c>
      <c r="J361" s="9">
        <v>45844.728379629603</v>
      </c>
      <c r="K361" s="7" t="s">
        <v>200</v>
      </c>
      <c r="L361" s="10">
        <f t="shared" si="20"/>
        <v>4.0000000008149073</v>
      </c>
      <c r="M361" s="10">
        <f t="shared" si="21"/>
        <v>6.2999999999301508</v>
      </c>
      <c r="N361" s="10">
        <f t="shared" si="22"/>
        <v>12.300000000104774</v>
      </c>
      <c r="O361" s="7" t="str">
        <f>IF(ISBLANK(I361),"N/A",IF(((I361-H361)*24)&gt;INDEX(Dim_ServiceType!$E$2:$E$16,MATCH(E361,Dim_ServiceType!$A$2:$A$16,0)),"Yes","No"))</f>
        <v>No</v>
      </c>
      <c r="P361" s="7" t="str">
        <f t="shared" si="23"/>
        <v>Closed</v>
      </c>
      <c r="Q361" s="6">
        <v>3</v>
      </c>
      <c r="R361" s="7" t="s">
        <v>196</v>
      </c>
    </row>
    <row r="362" spans="1:18" x14ac:dyDescent="0.35">
      <c r="A362" s="6">
        <v>361</v>
      </c>
      <c r="B362" s="7" t="s">
        <v>558</v>
      </c>
      <c r="C362" s="6">
        <v>4</v>
      </c>
      <c r="D362" s="6">
        <v>2</v>
      </c>
      <c r="E362" s="6">
        <v>7</v>
      </c>
      <c r="F362" s="6">
        <v>13</v>
      </c>
      <c r="G362" s="9">
        <v>45666.929814814801</v>
      </c>
      <c r="H362" s="9">
        <v>45667.054814814801</v>
      </c>
      <c r="I362" s="9">
        <v>45668.075648148202</v>
      </c>
      <c r="J362" s="9">
        <v>45668.096481481502</v>
      </c>
      <c r="K362" s="7" t="s">
        <v>198</v>
      </c>
      <c r="L362" s="10">
        <f t="shared" si="20"/>
        <v>3</v>
      </c>
      <c r="M362" s="10">
        <f t="shared" si="21"/>
        <v>24.500000001629815</v>
      </c>
      <c r="N362" s="10">
        <f t="shared" si="22"/>
        <v>28.000000000814907</v>
      </c>
      <c r="O362" s="7" t="str">
        <f>IF(ISBLANK(I362),"N/A",IF(((I362-H362)*24)&gt;INDEX(Dim_ServiceType!$E$2:$E$16,MATCH(E362,Dim_ServiceType!$A$2:$A$16,0)),"Yes","No"))</f>
        <v>Yes</v>
      </c>
      <c r="P362" s="7" t="str">
        <f t="shared" si="23"/>
        <v>Closed</v>
      </c>
      <c r="Q362" s="6">
        <v>4</v>
      </c>
      <c r="R362" s="7" t="s">
        <v>196</v>
      </c>
    </row>
    <row r="363" spans="1:18" x14ac:dyDescent="0.35">
      <c r="A363" s="6">
        <v>362</v>
      </c>
      <c r="B363" s="7" t="s">
        <v>559</v>
      </c>
      <c r="C363" s="6">
        <v>3</v>
      </c>
      <c r="D363" s="6">
        <v>14</v>
      </c>
      <c r="E363" s="6">
        <v>10</v>
      </c>
      <c r="F363" s="6">
        <v>10</v>
      </c>
      <c r="G363" s="9">
        <v>45726.851956018501</v>
      </c>
      <c r="H363" s="9">
        <v>45726.935289351903</v>
      </c>
      <c r="I363" s="9">
        <v>45727.031122685199</v>
      </c>
      <c r="J363" s="9">
        <v>45728.031122685199</v>
      </c>
      <c r="K363" s="7" t="s">
        <v>192</v>
      </c>
      <c r="L363" s="10">
        <f t="shared" si="20"/>
        <v>2.0000000016298145</v>
      </c>
      <c r="M363" s="10">
        <f t="shared" si="21"/>
        <v>2.2999999991152436</v>
      </c>
      <c r="N363" s="10">
        <f t="shared" si="22"/>
        <v>28.300000000745058</v>
      </c>
      <c r="O363" s="7" t="str">
        <f>IF(ISBLANK(I363),"N/A",IF(((I363-H363)*24)&gt;INDEX(Dim_ServiceType!$E$2:$E$16,MATCH(E363,Dim_ServiceType!$A$2:$A$16,0)),"Yes","No"))</f>
        <v>No</v>
      </c>
      <c r="P363" s="7" t="str">
        <f t="shared" si="23"/>
        <v>Closed</v>
      </c>
      <c r="Q363" s="6">
        <v>5</v>
      </c>
      <c r="R363" s="7" t="s">
        <v>193</v>
      </c>
    </row>
    <row r="364" spans="1:18" x14ac:dyDescent="0.35">
      <c r="A364" s="6">
        <v>363</v>
      </c>
      <c r="B364" s="7" t="s">
        <v>560</v>
      </c>
      <c r="C364" s="6">
        <v>2</v>
      </c>
      <c r="D364" s="6">
        <v>1</v>
      </c>
      <c r="E364" s="6">
        <v>5</v>
      </c>
      <c r="F364" s="6">
        <v>3</v>
      </c>
      <c r="G364" s="9">
        <v>45896.610625000001</v>
      </c>
      <c r="H364" s="9">
        <v>45896.631458333301</v>
      </c>
      <c r="I364" s="9">
        <v>45897.156458333302</v>
      </c>
      <c r="J364" s="9">
        <v>45897.239791666703</v>
      </c>
      <c r="K364" s="7" t="s">
        <v>198</v>
      </c>
      <c r="L364" s="10">
        <f t="shared" si="20"/>
        <v>0.49999999918509275</v>
      </c>
      <c r="M364" s="10">
        <f t="shared" si="21"/>
        <v>12.600000000034925</v>
      </c>
      <c r="N364" s="10">
        <f t="shared" si="22"/>
        <v>15.100000000849832</v>
      </c>
      <c r="O364" s="7" t="str">
        <f>IF(ISBLANK(I364),"N/A",IF(((I364-H364)*24)&gt;INDEX(Dim_ServiceType!$E$2:$E$16,MATCH(E364,Dim_ServiceType!$A$2:$A$16,0)),"Yes","No"))</f>
        <v>Yes</v>
      </c>
      <c r="P364" s="7" t="str">
        <f t="shared" si="23"/>
        <v>Closed</v>
      </c>
      <c r="Q364" s="6">
        <v>4</v>
      </c>
      <c r="R364" s="7" t="s">
        <v>196</v>
      </c>
    </row>
    <row r="365" spans="1:18" x14ac:dyDescent="0.35">
      <c r="A365" s="6">
        <v>364</v>
      </c>
      <c r="B365" s="7" t="s">
        <v>561</v>
      </c>
      <c r="C365" s="6">
        <v>12</v>
      </c>
      <c r="D365" s="6">
        <v>12</v>
      </c>
      <c r="E365" s="6">
        <v>3</v>
      </c>
      <c r="F365" s="6">
        <v>3</v>
      </c>
      <c r="G365" s="9">
        <v>45701.192731481497</v>
      </c>
      <c r="H365" s="9">
        <v>45701.692731481497</v>
      </c>
      <c r="I365" s="9">
        <v>45701.801064814797</v>
      </c>
      <c r="J365" s="9">
        <v>45701.821898148199</v>
      </c>
      <c r="K365" s="7" t="s">
        <v>207</v>
      </c>
      <c r="L365" s="10">
        <f t="shared" si="20"/>
        <v>12</v>
      </c>
      <c r="M365" s="10">
        <f t="shared" si="21"/>
        <v>2.5999999992200173</v>
      </c>
      <c r="N365" s="10">
        <f t="shared" si="22"/>
        <v>15.100000000849832</v>
      </c>
      <c r="O365" s="7" t="str">
        <f>IF(ISBLANK(I365),"N/A",IF(((I365-H365)*24)&gt;INDEX(Dim_ServiceType!$E$2:$E$16,MATCH(E365,Dim_ServiceType!$A$2:$A$16,0)),"Yes","No"))</f>
        <v>No</v>
      </c>
      <c r="P365" s="7" t="str">
        <f t="shared" si="23"/>
        <v>Closed</v>
      </c>
      <c r="Q365" s="6">
        <v>3</v>
      </c>
      <c r="R365" s="7" t="s">
        <v>196</v>
      </c>
    </row>
    <row r="366" spans="1:18" x14ac:dyDescent="0.35">
      <c r="A366" s="6">
        <v>365</v>
      </c>
      <c r="B366" s="7" t="s">
        <v>562</v>
      </c>
      <c r="C366" s="6">
        <v>7</v>
      </c>
      <c r="D366" s="6">
        <v>1</v>
      </c>
      <c r="E366" s="6">
        <v>2</v>
      </c>
      <c r="F366" s="6">
        <v>12</v>
      </c>
      <c r="G366" s="9">
        <v>45877.029641203699</v>
      </c>
      <c r="H366" s="9">
        <v>45877.112974536998</v>
      </c>
      <c r="I366" s="9">
        <v>45877.250474537002</v>
      </c>
      <c r="J366" s="9">
        <v>45877.417141203703</v>
      </c>
      <c r="K366" s="7" t="s">
        <v>207</v>
      </c>
      <c r="L366" s="10">
        <f t="shared" si="20"/>
        <v>1.9999999991850927</v>
      </c>
      <c r="M366" s="10">
        <f t="shared" si="21"/>
        <v>3.3000000001047738</v>
      </c>
      <c r="N366" s="10">
        <f t="shared" si="22"/>
        <v>9.3000000001047738</v>
      </c>
      <c r="O366" s="7" t="str">
        <f>IF(ISBLANK(I366),"N/A",IF(((I366-H366)*24)&gt;INDEX(Dim_ServiceType!$E$2:$E$16,MATCH(E366,Dim_ServiceType!$A$2:$A$16,0)),"Yes","No"))</f>
        <v>No</v>
      </c>
      <c r="P366" s="7" t="str">
        <f t="shared" si="23"/>
        <v>Closed</v>
      </c>
      <c r="Q366" s="6">
        <v>5</v>
      </c>
      <c r="R366" s="7" t="s">
        <v>193</v>
      </c>
    </row>
    <row r="367" spans="1:18" x14ac:dyDescent="0.35">
      <c r="A367" s="6">
        <v>366</v>
      </c>
      <c r="B367" s="7" t="s">
        <v>563</v>
      </c>
      <c r="C367" s="6">
        <v>4</v>
      </c>
      <c r="D367" s="6">
        <v>15</v>
      </c>
      <c r="E367" s="6">
        <v>7</v>
      </c>
      <c r="F367" s="6">
        <v>2</v>
      </c>
      <c r="G367" s="9">
        <v>45778.3367476852</v>
      </c>
      <c r="H367" s="9">
        <v>45779.0867476852</v>
      </c>
      <c r="I367" s="9"/>
      <c r="J367" s="9"/>
      <c r="K367" s="7" t="s">
        <v>195</v>
      </c>
      <c r="L367" s="10">
        <f t="shared" si="20"/>
        <v>18</v>
      </c>
      <c r="M367" s="10" t="str">
        <f t="shared" si="21"/>
        <v/>
      </c>
      <c r="N367" s="10" t="str">
        <f t="shared" si="22"/>
        <v/>
      </c>
      <c r="O367" s="7" t="str">
        <f>IF(ISBLANK(I367),"N/A",IF(((I367-H367)*24)&gt;INDEX(Dim_ServiceType!$E$2:$E$16,MATCH(E367,Dim_ServiceType!$A$2:$A$16,0)),"Yes","No"))</f>
        <v>N/A</v>
      </c>
      <c r="P367" s="7" t="str">
        <f t="shared" si="23"/>
        <v>In Progress</v>
      </c>
      <c r="Q367" s="6"/>
      <c r="R367" s="7"/>
    </row>
    <row r="368" spans="1:18" x14ac:dyDescent="0.35">
      <c r="A368" s="6">
        <v>367</v>
      </c>
      <c r="B368" s="7" t="s">
        <v>564</v>
      </c>
      <c r="C368" s="6">
        <v>1</v>
      </c>
      <c r="D368" s="6">
        <v>6</v>
      </c>
      <c r="E368" s="6">
        <v>3</v>
      </c>
      <c r="F368" s="6">
        <v>7</v>
      </c>
      <c r="G368" s="9">
        <v>45787.451400462996</v>
      </c>
      <c r="H368" s="9">
        <v>45788.451400462996</v>
      </c>
      <c r="I368" s="9">
        <v>45789.097233796303</v>
      </c>
      <c r="J368" s="9">
        <v>45790.097233796303</v>
      </c>
      <c r="K368" s="7" t="s">
        <v>198</v>
      </c>
      <c r="L368" s="10">
        <f t="shared" si="20"/>
        <v>24</v>
      </c>
      <c r="M368" s="10">
        <f t="shared" si="21"/>
        <v>15.499999999359716</v>
      </c>
      <c r="N368" s="10">
        <f t="shared" si="22"/>
        <v>63.499999999359716</v>
      </c>
      <c r="O368" s="7" t="str">
        <f>IF(ISBLANK(I368),"N/A",IF(((I368-H368)*24)&gt;INDEX(Dim_ServiceType!$E$2:$E$16,MATCH(E368,Dim_ServiceType!$A$2:$A$16,0)),"Yes","No"))</f>
        <v>Yes</v>
      </c>
      <c r="P368" s="7" t="str">
        <f t="shared" si="23"/>
        <v>Closed</v>
      </c>
      <c r="Q368" s="6">
        <v>3</v>
      </c>
      <c r="R368" s="7" t="s">
        <v>196</v>
      </c>
    </row>
    <row r="369" spans="1:18" x14ac:dyDescent="0.35">
      <c r="A369" s="6">
        <v>368</v>
      </c>
      <c r="B369" s="7" t="s">
        <v>565</v>
      </c>
      <c r="C369" s="6">
        <v>8</v>
      </c>
      <c r="D369" s="6">
        <v>8</v>
      </c>
      <c r="E369" s="6">
        <v>4</v>
      </c>
      <c r="F369" s="6">
        <v>9</v>
      </c>
      <c r="G369" s="9">
        <v>45901.465532407397</v>
      </c>
      <c r="H369" s="9">
        <v>45901.548865740697</v>
      </c>
      <c r="I369" s="9">
        <v>45902.0988657407</v>
      </c>
      <c r="J369" s="9">
        <v>45902.119699074101</v>
      </c>
      <c r="K369" s="7" t="s">
        <v>200</v>
      </c>
      <c r="L369" s="10">
        <f t="shared" si="20"/>
        <v>1.9999999991850927</v>
      </c>
      <c r="M369" s="10">
        <f t="shared" si="21"/>
        <v>13.200000000069849</v>
      </c>
      <c r="N369" s="10">
        <f t="shared" si="22"/>
        <v>15.700000000884756</v>
      </c>
      <c r="O369" s="7" t="str">
        <f>IF(ISBLANK(I369),"N/A",IF(((I369-H369)*24)&gt;INDEX(Dim_ServiceType!$E$2:$E$16,MATCH(E369,Dim_ServiceType!$A$2:$A$16,0)),"Yes","No"))</f>
        <v>No</v>
      </c>
      <c r="P369" s="7" t="str">
        <f t="shared" si="23"/>
        <v>Closed</v>
      </c>
      <c r="Q369" s="6">
        <v>2</v>
      </c>
      <c r="R369" s="7" t="s">
        <v>196</v>
      </c>
    </row>
    <row r="370" spans="1:18" x14ac:dyDescent="0.35">
      <c r="A370" s="6">
        <v>369</v>
      </c>
      <c r="B370" s="7" t="s">
        <v>566</v>
      </c>
      <c r="C370" s="6">
        <v>14</v>
      </c>
      <c r="D370" s="6">
        <v>7</v>
      </c>
      <c r="E370" s="6">
        <v>15</v>
      </c>
      <c r="F370" s="6">
        <v>13</v>
      </c>
      <c r="G370" s="9">
        <v>45665.838645833297</v>
      </c>
      <c r="H370" s="9">
        <v>45666.838645833297</v>
      </c>
      <c r="I370" s="9">
        <v>45667.630312499998</v>
      </c>
      <c r="J370" s="9">
        <v>45668.130312499998</v>
      </c>
      <c r="K370" s="7" t="s">
        <v>195</v>
      </c>
      <c r="L370" s="10">
        <f t="shared" si="20"/>
        <v>24</v>
      </c>
      <c r="M370" s="10">
        <f t="shared" si="21"/>
        <v>19.000000000814907</v>
      </c>
      <c r="N370" s="10">
        <f t="shared" si="22"/>
        <v>55.000000000814907</v>
      </c>
      <c r="O370" s="7" t="str">
        <f>IF(ISBLANK(I370),"N/A",IF(((I370-H370)*24)&gt;INDEX(Dim_ServiceType!$E$2:$E$16,MATCH(E370,Dim_ServiceType!$A$2:$A$16,0)),"Yes","No"))</f>
        <v>No</v>
      </c>
      <c r="P370" s="7" t="str">
        <f t="shared" si="23"/>
        <v>Closed</v>
      </c>
      <c r="Q370" s="6">
        <v>4</v>
      </c>
      <c r="R370" s="7" t="s">
        <v>196</v>
      </c>
    </row>
    <row r="371" spans="1:18" x14ac:dyDescent="0.35">
      <c r="A371" s="6">
        <v>370</v>
      </c>
      <c r="B371" s="7" t="s">
        <v>567</v>
      </c>
      <c r="C371" s="6">
        <v>8</v>
      </c>
      <c r="D371" s="6">
        <v>12</v>
      </c>
      <c r="E371" s="6">
        <v>6</v>
      </c>
      <c r="F371" s="6">
        <v>3</v>
      </c>
      <c r="G371" s="9">
        <v>45726.527037036998</v>
      </c>
      <c r="H371" s="9">
        <v>45727.527037036998</v>
      </c>
      <c r="I371" s="9">
        <v>45728.447870370401</v>
      </c>
      <c r="J371" s="9">
        <v>45728.697870370401</v>
      </c>
      <c r="K371" s="7" t="s">
        <v>192</v>
      </c>
      <c r="L371" s="10">
        <f t="shared" si="20"/>
        <v>24</v>
      </c>
      <c r="M371" s="10">
        <f t="shared" si="21"/>
        <v>22.100000001664739</v>
      </c>
      <c r="N371" s="10">
        <f t="shared" si="22"/>
        <v>52.100000001664739</v>
      </c>
      <c r="O371" s="7" t="str">
        <f>IF(ISBLANK(I371),"N/A",IF(((I371-H371)*24)&gt;INDEX(Dim_ServiceType!$E$2:$E$16,MATCH(E371,Dim_ServiceType!$A$2:$A$16,0)),"Yes","No"))</f>
        <v>No</v>
      </c>
      <c r="P371" s="7" t="str">
        <f t="shared" si="23"/>
        <v>Closed</v>
      </c>
      <c r="Q371" s="6">
        <v>5</v>
      </c>
      <c r="R371" s="7" t="s">
        <v>196</v>
      </c>
    </row>
    <row r="372" spans="1:18" x14ac:dyDescent="0.35">
      <c r="A372" s="6">
        <v>371</v>
      </c>
      <c r="B372" s="7" t="s">
        <v>568</v>
      </c>
      <c r="C372" s="6">
        <v>4</v>
      </c>
      <c r="D372" s="6">
        <v>11</v>
      </c>
      <c r="E372" s="6">
        <v>5</v>
      </c>
      <c r="F372" s="6">
        <v>8</v>
      </c>
      <c r="G372" s="9">
        <v>45992.1114930556</v>
      </c>
      <c r="H372" s="9"/>
      <c r="I372" s="9"/>
      <c r="J372" s="9"/>
      <c r="K372" s="7" t="s">
        <v>200</v>
      </c>
      <c r="L372" s="10" t="str">
        <f t="shared" si="20"/>
        <v/>
      </c>
      <c r="M372" s="10" t="str">
        <f t="shared" si="21"/>
        <v/>
      </c>
      <c r="N372" s="10" t="str">
        <f t="shared" si="22"/>
        <v/>
      </c>
      <c r="O372" s="7" t="str">
        <f>IF(ISBLANK(I372),"N/A",IF(((I372-H372)*24)&gt;INDEX(Dim_ServiceType!$E$2:$E$16,MATCH(E372,Dim_ServiceType!$A$2:$A$16,0)),"Yes","No"))</f>
        <v>N/A</v>
      </c>
      <c r="P372" s="7" t="str">
        <f t="shared" si="23"/>
        <v>Open (Unassigned)</v>
      </c>
      <c r="Q372" s="6"/>
      <c r="R372" s="7"/>
    </row>
    <row r="373" spans="1:18" x14ac:dyDescent="0.35">
      <c r="A373" s="6">
        <v>372</v>
      </c>
      <c r="B373" s="7" t="s">
        <v>569</v>
      </c>
      <c r="C373" s="6">
        <v>11</v>
      </c>
      <c r="D373" s="6">
        <v>8</v>
      </c>
      <c r="E373" s="6">
        <v>11</v>
      </c>
      <c r="F373" s="6">
        <v>13</v>
      </c>
      <c r="G373" s="9">
        <v>45970.4156828704</v>
      </c>
      <c r="H373" s="9">
        <v>45970.499016203699</v>
      </c>
      <c r="I373" s="9">
        <v>45970.765682870398</v>
      </c>
      <c r="J373" s="9">
        <v>45971.015682870398</v>
      </c>
      <c r="K373" s="7" t="s">
        <v>207</v>
      </c>
      <c r="L373" s="10">
        <f t="shared" si="20"/>
        <v>1.9999999991850927</v>
      </c>
      <c r="M373" s="10">
        <f t="shared" si="21"/>
        <v>6.4000000007799827</v>
      </c>
      <c r="N373" s="10">
        <f t="shared" si="22"/>
        <v>14.399999999965075</v>
      </c>
      <c r="O373" s="7" t="str">
        <f>IF(ISBLANK(I373),"N/A",IF(((I373-H373)*24)&gt;INDEX(Dim_ServiceType!$E$2:$E$16,MATCH(E373,Dim_ServiceType!$A$2:$A$16,0)),"Yes","No"))</f>
        <v>No</v>
      </c>
      <c r="P373" s="7" t="str">
        <f t="shared" si="23"/>
        <v>Closed</v>
      </c>
      <c r="Q373" s="6">
        <v>3</v>
      </c>
      <c r="R373" s="7" t="s">
        <v>196</v>
      </c>
    </row>
    <row r="374" spans="1:18" x14ac:dyDescent="0.35">
      <c r="A374" s="6">
        <v>373</v>
      </c>
      <c r="B374" s="7" t="s">
        <v>570</v>
      </c>
      <c r="C374" s="6">
        <v>7</v>
      </c>
      <c r="D374" s="6">
        <v>9</v>
      </c>
      <c r="E374" s="6">
        <v>2</v>
      </c>
      <c r="F374" s="6">
        <v>11</v>
      </c>
      <c r="G374" s="9">
        <v>45781.1014699074</v>
      </c>
      <c r="H374" s="9">
        <v>45782.1014699074</v>
      </c>
      <c r="I374" s="9">
        <v>45782.418136574102</v>
      </c>
      <c r="J374" s="9">
        <v>45782.459803240701</v>
      </c>
      <c r="K374" s="7" t="s">
        <v>207</v>
      </c>
      <c r="L374" s="10">
        <f t="shared" si="20"/>
        <v>24</v>
      </c>
      <c r="M374" s="10">
        <f t="shared" si="21"/>
        <v>7.6000000008498318</v>
      </c>
      <c r="N374" s="10">
        <f t="shared" si="22"/>
        <v>32.599999999220017</v>
      </c>
      <c r="O374" s="7" t="str">
        <f>IF(ISBLANK(I374),"N/A",IF(((I374-H374)*24)&gt;INDEX(Dim_ServiceType!$E$2:$E$16,MATCH(E374,Dim_ServiceType!$A$2:$A$16,0)),"Yes","No"))</f>
        <v>Yes</v>
      </c>
      <c r="P374" s="7" t="str">
        <f t="shared" si="23"/>
        <v>Closed</v>
      </c>
      <c r="Q374" s="6">
        <v>4</v>
      </c>
      <c r="R374" s="7" t="s">
        <v>193</v>
      </c>
    </row>
    <row r="375" spans="1:18" x14ac:dyDescent="0.35">
      <c r="A375" s="6">
        <v>374</v>
      </c>
      <c r="B375" s="7" t="s">
        <v>571</v>
      </c>
      <c r="C375" s="6">
        <v>4</v>
      </c>
      <c r="D375" s="6">
        <v>11</v>
      </c>
      <c r="E375" s="6">
        <v>8</v>
      </c>
      <c r="F375" s="6">
        <v>8</v>
      </c>
      <c r="G375" s="9">
        <v>45852.533379629604</v>
      </c>
      <c r="H375" s="9">
        <v>45853.533379629604</v>
      </c>
      <c r="I375" s="9">
        <v>45853.616712962998</v>
      </c>
      <c r="J375" s="9">
        <v>45853.637546296297</v>
      </c>
      <c r="K375" s="7" t="s">
        <v>200</v>
      </c>
      <c r="L375" s="10">
        <f t="shared" si="20"/>
        <v>24</v>
      </c>
      <c r="M375" s="10">
        <f t="shared" si="21"/>
        <v>2.0000000014551915</v>
      </c>
      <c r="N375" s="10">
        <f t="shared" si="22"/>
        <v>26.500000000640284</v>
      </c>
      <c r="O375" s="7" t="str">
        <f>IF(ISBLANK(I375),"N/A",IF(((I375-H375)*24)&gt;INDEX(Dim_ServiceType!$E$2:$E$16,MATCH(E375,Dim_ServiceType!$A$2:$A$16,0)),"Yes","No"))</f>
        <v>No</v>
      </c>
      <c r="P375" s="7" t="str">
        <f t="shared" si="23"/>
        <v>Closed</v>
      </c>
      <c r="Q375" s="6">
        <v>4</v>
      </c>
      <c r="R375" s="7" t="s">
        <v>196</v>
      </c>
    </row>
    <row r="376" spans="1:18" x14ac:dyDescent="0.35">
      <c r="A376" s="6">
        <v>375</v>
      </c>
      <c r="B376" s="7" t="s">
        <v>572</v>
      </c>
      <c r="C376" s="6">
        <v>12</v>
      </c>
      <c r="D376" s="6">
        <v>7</v>
      </c>
      <c r="E376" s="6">
        <v>6</v>
      </c>
      <c r="F376" s="6">
        <v>1</v>
      </c>
      <c r="G376" s="9">
        <v>45906.360393518502</v>
      </c>
      <c r="H376" s="9">
        <v>45906.402060185203</v>
      </c>
      <c r="I376" s="9">
        <v>45908.5228935185</v>
      </c>
      <c r="J376" s="9">
        <v>45909.0228935185</v>
      </c>
      <c r="K376" s="7" t="s">
        <v>198</v>
      </c>
      <c r="L376" s="10">
        <f t="shared" si="20"/>
        <v>1.0000000008149073</v>
      </c>
      <c r="M376" s="10">
        <f t="shared" si="21"/>
        <v>50.899999999150168</v>
      </c>
      <c r="N376" s="10">
        <f t="shared" si="22"/>
        <v>63.899999999965075</v>
      </c>
      <c r="O376" s="7" t="str">
        <f>IF(ISBLANK(I376),"N/A",IF(((I376-H376)*24)&gt;INDEX(Dim_ServiceType!$E$2:$E$16,MATCH(E376,Dim_ServiceType!$A$2:$A$16,0)),"Yes","No"))</f>
        <v>Yes</v>
      </c>
      <c r="P376" s="7" t="str">
        <f t="shared" si="23"/>
        <v>Closed</v>
      </c>
      <c r="Q376" s="6">
        <v>2</v>
      </c>
      <c r="R376" s="7" t="s">
        <v>196</v>
      </c>
    </row>
    <row r="377" spans="1:18" x14ac:dyDescent="0.35">
      <c r="A377" s="6">
        <v>376</v>
      </c>
      <c r="B377" s="7" t="s">
        <v>573</v>
      </c>
      <c r="C377" s="6">
        <v>1</v>
      </c>
      <c r="D377" s="6">
        <v>7</v>
      </c>
      <c r="E377" s="6">
        <v>12</v>
      </c>
      <c r="F377" s="6">
        <v>1</v>
      </c>
      <c r="G377" s="9">
        <v>45937.879201388903</v>
      </c>
      <c r="H377" s="9">
        <v>45937.962534722203</v>
      </c>
      <c r="I377" s="9">
        <v>45939.087534722203</v>
      </c>
      <c r="J377" s="9">
        <v>45940.087534722203</v>
      </c>
      <c r="K377" s="7" t="s">
        <v>195</v>
      </c>
      <c r="L377" s="10">
        <f t="shared" si="20"/>
        <v>1.9999999991850927</v>
      </c>
      <c r="M377" s="10">
        <f t="shared" si="21"/>
        <v>27</v>
      </c>
      <c r="N377" s="10">
        <f t="shared" si="22"/>
        <v>52.999999999185093</v>
      </c>
      <c r="O377" s="7" t="str">
        <f>IF(ISBLANK(I377),"N/A",IF(((I377-H377)*24)&gt;INDEX(Dim_ServiceType!$E$2:$E$16,MATCH(E377,Dim_ServiceType!$A$2:$A$16,0)),"Yes","No"))</f>
        <v>Yes</v>
      </c>
      <c r="P377" s="7" t="str">
        <f t="shared" si="23"/>
        <v>Closed</v>
      </c>
      <c r="Q377" s="6">
        <v>3</v>
      </c>
      <c r="R377" s="7" t="s">
        <v>196</v>
      </c>
    </row>
    <row r="378" spans="1:18" x14ac:dyDescent="0.35">
      <c r="A378" s="6">
        <v>377</v>
      </c>
      <c r="B378" s="7" t="s">
        <v>574</v>
      </c>
      <c r="C378" s="6">
        <v>1</v>
      </c>
      <c r="D378" s="6">
        <v>8</v>
      </c>
      <c r="E378" s="6">
        <v>9</v>
      </c>
      <c r="F378" s="6">
        <v>7</v>
      </c>
      <c r="G378" s="9">
        <v>45694.152673611097</v>
      </c>
      <c r="H378" s="9">
        <v>45694.277673611097</v>
      </c>
      <c r="I378" s="9">
        <v>45695.386006944398</v>
      </c>
      <c r="J378" s="9">
        <v>45696.386006944398</v>
      </c>
      <c r="K378" s="7" t="s">
        <v>198</v>
      </c>
      <c r="L378" s="10">
        <f t="shared" si="20"/>
        <v>3</v>
      </c>
      <c r="M378" s="10">
        <f t="shared" si="21"/>
        <v>26.599999999220017</v>
      </c>
      <c r="N378" s="10">
        <f t="shared" si="22"/>
        <v>53.599999999220017</v>
      </c>
      <c r="O378" s="7" t="str">
        <f>IF(ISBLANK(I378),"N/A",IF(((I378-H378)*24)&gt;INDEX(Dim_ServiceType!$E$2:$E$16,MATCH(E378,Dim_ServiceType!$A$2:$A$16,0)),"Yes","No"))</f>
        <v>No</v>
      </c>
      <c r="P378" s="7" t="str">
        <f t="shared" si="23"/>
        <v>Closed</v>
      </c>
      <c r="Q378" s="6">
        <v>3</v>
      </c>
      <c r="R378" s="7" t="s">
        <v>196</v>
      </c>
    </row>
    <row r="379" spans="1:18" x14ac:dyDescent="0.35">
      <c r="A379" s="6">
        <v>378</v>
      </c>
      <c r="B379" s="7" t="s">
        <v>575</v>
      </c>
      <c r="C379" s="6">
        <v>7</v>
      </c>
      <c r="D379" s="6">
        <v>11</v>
      </c>
      <c r="E379" s="6">
        <v>8</v>
      </c>
      <c r="F379" s="6">
        <v>5</v>
      </c>
      <c r="G379" s="9">
        <v>45873.666724536997</v>
      </c>
      <c r="H379" s="9">
        <v>45874.166724536997</v>
      </c>
      <c r="I379" s="9">
        <v>45874.412557870397</v>
      </c>
      <c r="J379" s="9">
        <v>45874.662557870397</v>
      </c>
      <c r="K379" s="7" t="s">
        <v>207</v>
      </c>
      <c r="L379" s="10">
        <f t="shared" si="20"/>
        <v>12</v>
      </c>
      <c r="M379" s="10">
        <f t="shared" si="21"/>
        <v>5.9000000015948899</v>
      </c>
      <c r="N379" s="10">
        <f t="shared" si="22"/>
        <v>23.90000000159489</v>
      </c>
      <c r="O379" s="7" t="str">
        <f>IF(ISBLANK(I379),"N/A",IF(((I379-H379)*24)&gt;INDEX(Dim_ServiceType!$E$2:$E$16,MATCH(E379,Dim_ServiceType!$A$2:$A$16,0)),"Yes","No"))</f>
        <v>No</v>
      </c>
      <c r="P379" s="7" t="str">
        <f t="shared" si="23"/>
        <v>Closed</v>
      </c>
      <c r="Q379" s="6">
        <v>4</v>
      </c>
      <c r="R379" s="7" t="s">
        <v>193</v>
      </c>
    </row>
    <row r="380" spans="1:18" x14ac:dyDescent="0.35">
      <c r="A380" s="6">
        <v>379</v>
      </c>
      <c r="B380" s="7" t="s">
        <v>576</v>
      </c>
      <c r="C380" s="6">
        <v>8</v>
      </c>
      <c r="D380" s="6">
        <v>1</v>
      </c>
      <c r="E380" s="6">
        <v>8</v>
      </c>
      <c r="F380" s="6">
        <v>13</v>
      </c>
      <c r="G380" s="9">
        <v>45801.767523148199</v>
      </c>
      <c r="H380" s="9">
        <v>45802.267523148199</v>
      </c>
      <c r="I380" s="9">
        <v>45802.467523148203</v>
      </c>
      <c r="J380" s="9">
        <v>45802.550856481503</v>
      </c>
      <c r="K380" s="7" t="s">
        <v>198</v>
      </c>
      <c r="L380" s="10">
        <f t="shared" si="20"/>
        <v>12</v>
      </c>
      <c r="M380" s="10">
        <f t="shared" si="21"/>
        <v>4.8000000001047738</v>
      </c>
      <c r="N380" s="10">
        <f t="shared" si="22"/>
        <v>18.799999999289867</v>
      </c>
      <c r="O380" s="7" t="str">
        <f>IF(ISBLANK(I380),"N/A",IF(((I380-H380)*24)&gt;INDEX(Dim_ServiceType!$E$2:$E$16,MATCH(E380,Dim_ServiceType!$A$2:$A$16,0)),"Yes","No"))</f>
        <v>No</v>
      </c>
      <c r="P380" s="7" t="str">
        <f t="shared" si="23"/>
        <v>Closed</v>
      </c>
      <c r="Q380" s="6">
        <v>1</v>
      </c>
      <c r="R380" s="7" t="s">
        <v>196</v>
      </c>
    </row>
    <row r="381" spans="1:18" x14ac:dyDescent="0.35">
      <c r="A381" s="6">
        <v>380</v>
      </c>
      <c r="B381" s="7" t="s">
        <v>577</v>
      </c>
      <c r="C381" s="6">
        <v>14</v>
      </c>
      <c r="D381" s="6">
        <v>13</v>
      </c>
      <c r="E381" s="6">
        <v>4</v>
      </c>
      <c r="F381" s="6">
        <v>9</v>
      </c>
      <c r="G381" s="9">
        <v>45852.819120370397</v>
      </c>
      <c r="H381" s="9">
        <v>45853.819120370397</v>
      </c>
      <c r="I381" s="9">
        <v>45854.173287037003</v>
      </c>
      <c r="J381" s="9">
        <v>45854.214953703697</v>
      </c>
      <c r="K381" s="7" t="s">
        <v>192</v>
      </c>
      <c r="L381" s="10">
        <f t="shared" si="20"/>
        <v>24</v>
      </c>
      <c r="M381" s="10">
        <f t="shared" si="21"/>
        <v>8.4999999985448085</v>
      </c>
      <c r="N381" s="10">
        <f t="shared" si="22"/>
        <v>33.499999999185093</v>
      </c>
      <c r="O381" s="7" t="str">
        <f>IF(ISBLANK(I381),"N/A",IF(((I381-H381)*24)&gt;INDEX(Dim_ServiceType!$E$2:$E$16,MATCH(E381,Dim_ServiceType!$A$2:$A$16,0)),"Yes","No"))</f>
        <v>No</v>
      </c>
      <c r="P381" s="7" t="str">
        <f t="shared" si="23"/>
        <v>Closed</v>
      </c>
      <c r="Q381" s="6">
        <v>5</v>
      </c>
      <c r="R381" s="7" t="s">
        <v>196</v>
      </c>
    </row>
    <row r="382" spans="1:18" x14ac:dyDescent="0.35">
      <c r="A382" s="6">
        <v>381</v>
      </c>
      <c r="B382" s="7" t="s">
        <v>578</v>
      </c>
      <c r="C382" s="6">
        <v>3</v>
      </c>
      <c r="D382" s="6">
        <v>12</v>
      </c>
      <c r="E382" s="6">
        <v>7</v>
      </c>
      <c r="F382" s="6">
        <v>9</v>
      </c>
      <c r="G382" s="9">
        <v>45944.584108796298</v>
      </c>
      <c r="H382" s="9">
        <v>45945.584108796298</v>
      </c>
      <c r="I382" s="9">
        <v>45946.384108796301</v>
      </c>
      <c r="J382" s="9">
        <v>45946.884108796301</v>
      </c>
      <c r="K382" s="7" t="s">
        <v>192</v>
      </c>
      <c r="L382" s="10">
        <f t="shared" si="20"/>
        <v>24</v>
      </c>
      <c r="M382" s="10">
        <f t="shared" si="21"/>
        <v>19.200000000069849</v>
      </c>
      <c r="N382" s="10">
        <f t="shared" si="22"/>
        <v>55.200000000069849</v>
      </c>
      <c r="O382" s="7" t="str">
        <f>IF(ISBLANK(I382),"N/A",IF(((I382-H382)*24)&gt;INDEX(Dim_ServiceType!$E$2:$E$16,MATCH(E382,Dim_ServiceType!$A$2:$A$16,0)),"Yes","No"))</f>
        <v>No</v>
      </c>
      <c r="P382" s="7" t="str">
        <f t="shared" si="23"/>
        <v>Closed</v>
      </c>
      <c r="Q382" s="6">
        <v>2</v>
      </c>
      <c r="R382" s="7" t="s">
        <v>196</v>
      </c>
    </row>
    <row r="383" spans="1:18" x14ac:dyDescent="0.35">
      <c r="A383" s="6">
        <v>382</v>
      </c>
      <c r="B383" s="7" t="s">
        <v>579</v>
      </c>
      <c r="C383" s="6">
        <v>4</v>
      </c>
      <c r="D383" s="6">
        <v>8</v>
      </c>
      <c r="E383" s="6">
        <v>3</v>
      </c>
      <c r="F383" s="6">
        <v>1</v>
      </c>
      <c r="G383" s="9">
        <v>45763.463518518503</v>
      </c>
      <c r="H383" s="9">
        <v>45763.588518518503</v>
      </c>
      <c r="I383" s="9">
        <v>45764.005185185197</v>
      </c>
      <c r="J383" s="9">
        <v>45764.171851851897</v>
      </c>
      <c r="K383" s="7" t="s">
        <v>195</v>
      </c>
      <c r="L383" s="10">
        <f t="shared" si="20"/>
        <v>3</v>
      </c>
      <c r="M383" s="10">
        <f t="shared" si="21"/>
        <v>10.000000000640284</v>
      </c>
      <c r="N383" s="10">
        <f t="shared" si="22"/>
        <v>17.000000001455192</v>
      </c>
      <c r="O383" s="7" t="str">
        <f>IF(ISBLANK(I383),"N/A",IF(((I383-H383)*24)&gt;INDEX(Dim_ServiceType!$E$2:$E$16,MATCH(E383,Dim_ServiceType!$A$2:$A$16,0)),"Yes","No"))</f>
        <v>Yes</v>
      </c>
      <c r="P383" s="7" t="str">
        <f t="shared" si="23"/>
        <v>Closed</v>
      </c>
      <c r="Q383" s="6">
        <v>1</v>
      </c>
      <c r="R383" s="7" t="s">
        <v>196</v>
      </c>
    </row>
    <row r="384" spans="1:18" x14ac:dyDescent="0.35">
      <c r="A384" s="6">
        <v>383</v>
      </c>
      <c r="B384" s="7" t="s">
        <v>580</v>
      </c>
      <c r="C384" s="6">
        <v>12</v>
      </c>
      <c r="D384" s="6">
        <v>4</v>
      </c>
      <c r="E384" s="6">
        <v>5</v>
      </c>
      <c r="F384" s="6">
        <v>9</v>
      </c>
      <c r="G384" s="9">
        <v>45754.779918981498</v>
      </c>
      <c r="H384" s="9">
        <v>45755.279918981498</v>
      </c>
      <c r="I384" s="9">
        <v>45755.5965856482</v>
      </c>
      <c r="J384" s="9">
        <v>45755.8465856482</v>
      </c>
      <c r="K384" s="7" t="s">
        <v>198</v>
      </c>
      <c r="L384" s="10">
        <f t="shared" si="20"/>
        <v>12</v>
      </c>
      <c r="M384" s="10">
        <f t="shared" si="21"/>
        <v>7.6000000008498318</v>
      </c>
      <c r="N384" s="10">
        <f t="shared" si="22"/>
        <v>25.600000000849832</v>
      </c>
      <c r="O384" s="7" t="str">
        <f>IF(ISBLANK(I384),"N/A",IF(((I384-H384)*24)&gt;INDEX(Dim_ServiceType!$E$2:$E$16,MATCH(E384,Dim_ServiceType!$A$2:$A$16,0)),"Yes","No"))</f>
        <v>No</v>
      </c>
      <c r="P384" s="7" t="str">
        <f t="shared" si="23"/>
        <v>Closed</v>
      </c>
      <c r="Q384" s="6">
        <v>4</v>
      </c>
      <c r="R384" s="7" t="s">
        <v>196</v>
      </c>
    </row>
    <row r="385" spans="1:18" x14ac:dyDescent="0.35">
      <c r="A385" s="6">
        <v>384</v>
      </c>
      <c r="B385" s="7" t="s">
        <v>581</v>
      </c>
      <c r="C385" s="6">
        <v>8</v>
      </c>
      <c r="D385" s="6">
        <v>15</v>
      </c>
      <c r="E385" s="6">
        <v>1</v>
      </c>
      <c r="F385" s="6">
        <v>4</v>
      </c>
      <c r="G385" s="9">
        <v>45972.238865740699</v>
      </c>
      <c r="H385" s="9">
        <v>45972.2805324074</v>
      </c>
      <c r="I385" s="9"/>
      <c r="J385" s="9"/>
      <c r="K385" s="7" t="s">
        <v>207</v>
      </c>
      <c r="L385" s="10">
        <f t="shared" si="20"/>
        <v>1.0000000008149073</v>
      </c>
      <c r="M385" s="10" t="str">
        <f t="shared" si="21"/>
        <v/>
      </c>
      <c r="N385" s="10" t="str">
        <f t="shared" si="22"/>
        <v/>
      </c>
      <c r="O385" s="7" t="str">
        <f>IF(ISBLANK(I385),"N/A",IF(((I385-H385)*24)&gt;INDEX(Dim_ServiceType!$E$2:$E$16,MATCH(E385,Dim_ServiceType!$A$2:$A$16,0)),"Yes","No"))</f>
        <v>N/A</v>
      </c>
      <c r="P385" s="7" t="str">
        <f t="shared" si="23"/>
        <v>In Progress</v>
      </c>
      <c r="Q385" s="6"/>
      <c r="R385" s="7"/>
    </row>
    <row r="386" spans="1:18" x14ac:dyDescent="0.35">
      <c r="A386" s="6">
        <v>385</v>
      </c>
      <c r="B386" s="7" t="s">
        <v>582</v>
      </c>
      <c r="C386" s="6">
        <v>8</v>
      </c>
      <c r="D386" s="6">
        <v>4</v>
      </c>
      <c r="E386" s="6">
        <v>1</v>
      </c>
      <c r="F386" s="6">
        <v>8</v>
      </c>
      <c r="G386" s="9">
        <v>45843.026990740698</v>
      </c>
      <c r="H386" s="9">
        <v>45843.193657407399</v>
      </c>
      <c r="I386" s="9">
        <v>45843.322824074101</v>
      </c>
      <c r="J386" s="9">
        <v>45843.3644907407</v>
      </c>
      <c r="K386" s="7" t="s">
        <v>198</v>
      </c>
      <c r="L386" s="10">
        <f t="shared" ref="L386:L449" si="24">IF(ISBLANK(H386),"",(H386-G386)*24)</f>
        <v>4.0000000008149073</v>
      </c>
      <c r="M386" s="10">
        <f t="shared" ref="M386:M449" si="25">IF(ISBLANK(I386),"",(I386-H386)*24)</f>
        <v>3.1000000008498318</v>
      </c>
      <c r="N386" s="10">
        <f t="shared" ref="N386:N449" si="26">IF(ISBLANK(J386),"",(J386-G386)*24)</f>
        <v>8.1000000000349246</v>
      </c>
      <c r="O386" s="7" t="str">
        <f>IF(ISBLANK(I386),"N/A",IF(((I386-H386)*24)&gt;INDEX(Dim_ServiceType!$E$2:$E$16,MATCH(E386,Dim_ServiceType!$A$2:$A$16,0)),"Yes","No"))</f>
        <v>No</v>
      </c>
      <c r="P386" s="7" t="str">
        <f t="shared" ref="P386:P449" si="27">IF(ISBLANK(H386),"Open (Unassigned)",IF(ISBLANK(I386),"In Progress",IF(ISBLANK(J386),"Resolved (Pending Closure)","Closed")))</f>
        <v>Closed</v>
      </c>
      <c r="Q386" s="6">
        <v>4</v>
      </c>
      <c r="R386" s="7" t="s">
        <v>193</v>
      </c>
    </row>
    <row r="387" spans="1:18" x14ac:dyDescent="0.35">
      <c r="A387" s="6">
        <v>386</v>
      </c>
      <c r="B387" s="7" t="s">
        <v>583</v>
      </c>
      <c r="C387" s="6">
        <v>1</v>
      </c>
      <c r="D387" s="6">
        <v>4</v>
      </c>
      <c r="E387" s="6">
        <v>10</v>
      </c>
      <c r="F387" s="6">
        <v>9</v>
      </c>
      <c r="G387" s="9">
        <v>45838.360763888901</v>
      </c>
      <c r="H387" s="9">
        <v>45838.610763888901</v>
      </c>
      <c r="I387" s="9">
        <v>45838.935763888898</v>
      </c>
      <c r="J387" s="9">
        <v>45838.956597222197</v>
      </c>
      <c r="K387" s="7" t="s">
        <v>195</v>
      </c>
      <c r="L387" s="10">
        <f t="shared" si="24"/>
        <v>6</v>
      </c>
      <c r="M387" s="10">
        <f t="shared" si="25"/>
        <v>7.7999999999301508</v>
      </c>
      <c r="N387" s="10">
        <f t="shared" si="26"/>
        <v>14.299999999115244</v>
      </c>
      <c r="O387" s="7" t="str">
        <f>IF(ISBLANK(I387),"N/A",IF(((I387-H387)*24)&gt;INDEX(Dim_ServiceType!$E$2:$E$16,MATCH(E387,Dim_ServiceType!$A$2:$A$16,0)),"Yes","No"))</f>
        <v>Yes</v>
      </c>
      <c r="P387" s="7" t="str">
        <f t="shared" si="27"/>
        <v>Closed</v>
      </c>
      <c r="Q387" s="6">
        <v>4</v>
      </c>
      <c r="R387" s="7" t="s">
        <v>196</v>
      </c>
    </row>
    <row r="388" spans="1:18" x14ac:dyDescent="0.35">
      <c r="A388" s="6">
        <v>387</v>
      </c>
      <c r="B388" s="7" t="s">
        <v>584</v>
      </c>
      <c r="C388" s="6">
        <v>10</v>
      </c>
      <c r="D388" s="6">
        <v>11</v>
      </c>
      <c r="E388" s="6">
        <v>5</v>
      </c>
      <c r="F388" s="6">
        <v>12</v>
      </c>
      <c r="G388" s="9">
        <v>45718.479120370401</v>
      </c>
      <c r="H388" s="9">
        <v>45718.8124537037</v>
      </c>
      <c r="I388" s="9">
        <v>45719.349953703699</v>
      </c>
      <c r="J388" s="9">
        <v>45719.370787036998</v>
      </c>
      <c r="K388" s="7" t="s">
        <v>198</v>
      </c>
      <c r="L388" s="10">
        <f t="shared" si="24"/>
        <v>7.9999999991850927</v>
      </c>
      <c r="M388" s="10">
        <f t="shared" si="25"/>
        <v>12.899999999965075</v>
      </c>
      <c r="N388" s="10">
        <f t="shared" si="26"/>
        <v>21.399999998335261</v>
      </c>
      <c r="O388" s="7" t="str">
        <f>IF(ISBLANK(I388),"N/A",IF(((I388-H388)*24)&gt;INDEX(Dim_ServiceType!$E$2:$E$16,MATCH(E388,Dim_ServiceType!$A$2:$A$16,0)),"Yes","No"))</f>
        <v>Yes</v>
      </c>
      <c r="P388" s="7" t="str">
        <f t="shared" si="27"/>
        <v>Closed</v>
      </c>
      <c r="Q388" s="6">
        <v>3</v>
      </c>
      <c r="R388" s="7" t="s">
        <v>196</v>
      </c>
    </row>
    <row r="389" spans="1:18" x14ac:dyDescent="0.35">
      <c r="A389" s="6">
        <v>388</v>
      </c>
      <c r="B389" s="7" t="s">
        <v>585</v>
      </c>
      <c r="C389" s="6">
        <v>2</v>
      </c>
      <c r="D389" s="6">
        <v>3</v>
      </c>
      <c r="E389" s="6">
        <v>5</v>
      </c>
      <c r="F389" s="6">
        <v>11</v>
      </c>
      <c r="G389" s="9">
        <v>45674.426087963002</v>
      </c>
      <c r="H389" s="9">
        <v>45674.446921296301</v>
      </c>
      <c r="I389" s="9">
        <v>45675.038587962998</v>
      </c>
      <c r="J389" s="9">
        <v>45675.059421296297</v>
      </c>
      <c r="K389" s="7" t="s">
        <v>207</v>
      </c>
      <c r="L389" s="10">
        <f t="shared" si="24"/>
        <v>0.49999999918509275</v>
      </c>
      <c r="M389" s="10">
        <f t="shared" si="25"/>
        <v>14.200000000710133</v>
      </c>
      <c r="N389" s="10">
        <f t="shared" si="26"/>
        <v>15.199999999080319</v>
      </c>
      <c r="O389" s="7" t="str">
        <f>IF(ISBLANK(I389),"N/A",IF(((I389-H389)*24)&gt;INDEX(Dim_ServiceType!$E$2:$E$16,MATCH(E389,Dim_ServiceType!$A$2:$A$16,0)),"Yes","No"))</f>
        <v>Yes</v>
      </c>
      <c r="P389" s="7" t="str">
        <f t="shared" si="27"/>
        <v>Closed</v>
      </c>
      <c r="Q389" s="6">
        <v>2</v>
      </c>
      <c r="R389" s="7" t="s">
        <v>193</v>
      </c>
    </row>
    <row r="390" spans="1:18" x14ac:dyDescent="0.35">
      <c r="A390" s="6">
        <v>389</v>
      </c>
      <c r="B390" s="7" t="s">
        <v>586</v>
      </c>
      <c r="C390" s="6">
        <v>8</v>
      </c>
      <c r="D390" s="6">
        <v>9</v>
      </c>
      <c r="E390" s="6">
        <v>4</v>
      </c>
      <c r="F390" s="6">
        <v>12</v>
      </c>
      <c r="G390" s="9">
        <v>45995.178900462997</v>
      </c>
      <c r="H390" s="9"/>
      <c r="I390" s="9"/>
      <c r="J390" s="9"/>
      <c r="K390" s="7" t="s">
        <v>207</v>
      </c>
      <c r="L390" s="10" t="str">
        <f t="shared" si="24"/>
        <v/>
      </c>
      <c r="M390" s="10" t="str">
        <f t="shared" si="25"/>
        <v/>
      </c>
      <c r="N390" s="10" t="str">
        <f t="shared" si="26"/>
        <v/>
      </c>
      <c r="O390" s="7" t="str">
        <f>IF(ISBLANK(I390),"N/A",IF(((I390-H390)*24)&gt;INDEX(Dim_ServiceType!$E$2:$E$16,MATCH(E390,Dim_ServiceType!$A$2:$A$16,0)),"Yes","No"))</f>
        <v>N/A</v>
      </c>
      <c r="P390" s="7" t="str">
        <f t="shared" si="27"/>
        <v>Open (Unassigned)</v>
      </c>
      <c r="Q390" s="6"/>
      <c r="R390" s="7"/>
    </row>
    <row r="391" spans="1:18" x14ac:dyDescent="0.35">
      <c r="A391" s="6">
        <v>390</v>
      </c>
      <c r="B391" s="7" t="s">
        <v>587</v>
      </c>
      <c r="C391" s="6">
        <v>5</v>
      </c>
      <c r="D391" s="6">
        <v>1</v>
      </c>
      <c r="E391" s="6">
        <v>11</v>
      </c>
      <c r="F391" s="6">
        <v>1</v>
      </c>
      <c r="G391" s="9">
        <v>45927.096608796302</v>
      </c>
      <c r="H391" s="9">
        <v>45927.221608796302</v>
      </c>
      <c r="I391" s="9">
        <v>45927.792442129597</v>
      </c>
      <c r="J391" s="9">
        <v>45928.292442129597</v>
      </c>
      <c r="K391" s="7" t="s">
        <v>200</v>
      </c>
      <c r="L391" s="10">
        <f t="shared" si="24"/>
        <v>3</v>
      </c>
      <c r="M391" s="10">
        <f t="shared" si="25"/>
        <v>13.699999999080319</v>
      </c>
      <c r="N391" s="10">
        <f t="shared" si="26"/>
        <v>28.699999999080319</v>
      </c>
      <c r="O391" s="7" t="str">
        <f>IF(ISBLANK(I391),"N/A",IF(((I391-H391)*24)&gt;INDEX(Dim_ServiceType!$E$2:$E$16,MATCH(E391,Dim_ServiceType!$A$2:$A$16,0)),"Yes","No"))</f>
        <v>Yes</v>
      </c>
      <c r="P391" s="7" t="str">
        <f t="shared" si="27"/>
        <v>Closed</v>
      </c>
      <c r="Q391" s="6">
        <v>3</v>
      </c>
      <c r="R391" s="7" t="s">
        <v>196</v>
      </c>
    </row>
    <row r="392" spans="1:18" x14ac:dyDescent="0.35">
      <c r="A392" s="6">
        <v>391</v>
      </c>
      <c r="B392" s="7" t="s">
        <v>588</v>
      </c>
      <c r="C392" s="6">
        <v>5</v>
      </c>
      <c r="D392" s="6">
        <v>5</v>
      </c>
      <c r="E392" s="6">
        <v>8</v>
      </c>
      <c r="F392" s="6">
        <v>6</v>
      </c>
      <c r="G392" s="9">
        <v>45841.7110300926</v>
      </c>
      <c r="H392" s="9">
        <v>45841.731863425899</v>
      </c>
      <c r="I392" s="9">
        <v>45841.844363425902</v>
      </c>
      <c r="J392" s="9">
        <v>45841.886030092603</v>
      </c>
      <c r="K392" s="7" t="s">
        <v>192</v>
      </c>
      <c r="L392" s="10">
        <f t="shared" si="24"/>
        <v>0.49999999918509275</v>
      </c>
      <c r="M392" s="10">
        <f t="shared" si="25"/>
        <v>2.7000000000698492</v>
      </c>
      <c r="N392" s="10">
        <f t="shared" si="26"/>
        <v>4.2000000000698492</v>
      </c>
      <c r="O392" s="7" t="str">
        <f>IF(ISBLANK(I392),"N/A",IF(((I392-H392)*24)&gt;INDEX(Dim_ServiceType!$E$2:$E$16,MATCH(E392,Dim_ServiceType!$A$2:$A$16,0)),"Yes","No"))</f>
        <v>No</v>
      </c>
      <c r="P392" s="7" t="str">
        <f t="shared" si="27"/>
        <v>Closed</v>
      </c>
      <c r="Q392" s="6">
        <v>5</v>
      </c>
      <c r="R392" s="7" t="s">
        <v>196</v>
      </c>
    </row>
    <row r="393" spans="1:18" x14ac:dyDescent="0.35">
      <c r="A393" s="6">
        <v>392</v>
      </c>
      <c r="B393" s="7" t="s">
        <v>589</v>
      </c>
      <c r="C393" s="6">
        <v>14</v>
      </c>
      <c r="D393" s="6">
        <v>6</v>
      </c>
      <c r="E393" s="6">
        <v>14</v>
      </c>
      <c r="F393" s="6">
        <v>7</v>
      </c>
      <c r="G393" s="9">
        <v>45743.028587963003</v>
      </c>
      <c r="H393" s="9">
        <v>45743.278587963003</v>
      </c>
      <c r="I393" s="9">
        <v>45743.382754629602</v>
      </c>
      <c r="J393" s="9">
        <v>45743.632754629602</v>
      </c>
      <c r="K393" s="7" t="s">
        <v>192</v>
      </c>
      <c r="L393" s="10">
        <f t="shared" si="24"/>
        <v>6</v>
      </c>
      <c r="M393" s="10">
        <f t="shared" si="25"/>
        <v>2.4999999983701855</v>
      </c>
      <c r="N393" s="10">
        <f t="shared" si="26"/>
        <v>14.499999998370185</v>
      </c>
      <c r="O393" s="7" t="str">
        <f>IF(ISBLANK(I393),"N/A",IF(((I393-H393)*24)&gt;INDEX(Dim_ServiceType!$E$2:$E$16,MATCH(E393,Dim_ServiceType!$A$2:$A$16,0)),"Yes","No"))</f>
        <v>No</v>
      </c>
      <c r="P393" s="7" t="str">
        <f t="shared" si="27"/>
        <v>Closed</v>
      </c>
      <c r="Q393" s="6">
        <v>2</v>
      </c>
      <c r="R393" s="7" t="s">
        <v>196</v>
      </c>
    </row>
    <row r="394" spans="1:18" x14ac:dyDescent="0.35">
      <c r="A394" s="6">
        <v>393</v>
      </c>
      <c r="B394" s="7" t="s">
        <v>590</v>
      </c>
      <c r="C394" s="6">
        <v>8</v>
      </c>
      <c r="D394" s="6">
        <v>3</v>
      </c>
      <c r="E394" s="6">
        <v>12</v>
      </c>
      <c r="F394" s="6">
        <v>2</v>
      </c>
      <c r="G394" s="9">
        <v>45848.256134259304</v>
      </c>
      <c r="H394" s="9">
        <v>45848.381134259304</v>
      </c>
      <c r="I394" s="9">
        <v>45848.947800925896</v>
      </c>
      <c r="J394" s="9">
        <v>45849.197800925896</v>
      </c>
      <c r="K394" s="7" t="s">
        <v>200</v>
      </c>
      <c r="L394" s="10">
        <f t="shared" si="24"/>
        <v>3</v>
      </c>
      <c r="M394" s="10">
        <f t="shared" si="25"/>
        <v>13.599999998230487</v>
      </c>
      <c r="N394" s="10">
        <f t="shared" si="26"/>
        <v>22.599999998230487</v>
      </c>
      <c r="O394" s="7" t="str">
        <f>IF(ISBLANK(I394),"N/A",IF(((I394-H394)*24)&gt;INDEX(Dim_ServiceType!$E$2:$E$16,MATCH(E394,Dim_ServiceType!$A$2:$A$16,0)),"Yes","No"))</f>
        <v>No</v>
      </c>
      <c r="P394" s="7" t="str">
        <f t="shared" si="27"/>
        <v>Closed</v>
      </c>
      <c r="Q394" s="6">
        <v>2</v>
      </c>
      <c r="R394" s="7" t="s">
        <v>196</v>
      </c>
    </row>
    <row r="395" spans="1:18" x14ac:dyDescent="0.35">
      <c r="A395" s="6">
        <v>394</v>
      </c>
      <c r="B395" s="7" t="s">
        <v>591</v>
      </c>
      <c r="C395" s="6">
        <v>10</v>
      </c>
      <c r="D395" s="6">
        <v>4</v>
      </c>
      <c r="E395" s="6">
        <v>5</v>
      </c>
      <c r="F395" s="6">
        <v>2</v>
      </c>
      <c r="G395" s="9">
        <v>45881.496678240699</v>
      </c>
      <c r="H395" s="9">
        <v>45881.996678240699</v>
      </c>
      <c r="I395" s="9">
        <v>45882.300844907397</v>
      </c>
      <c r="J395" s="9">
        <v>45882.384178240703</v>
      </c>
      <c r="K395" s="7" t="s">
        <v>207</v>
      </c>
      <c r="L395" s="10">
        <f t="shared" si="24"/>
        <v>12</v>
      </c>
      <c r="M395" s="10">
        <f t="shared" si="25"/>
        <v>7.3000000007450581</v>
      </c>
      <c r="N395" s="10">
        <f t="shared" si="26"/>
        <v>21.300000000104774</v>
      </c>
      <c r="O395" s="7" t="str">
        <f>IF(ISBLANK(I395),"N/A",IF(((I395-H395)*24)&gt;INDEX(Dim_ServiceType!$E$2:$E$16,MATCH(E395,Dim_ServiceType!$A$2:$A$16,0)),"Yes","No"))</f>
        <v>No</v>
      </c>
      <c r="P395" s="7" t="str">
        <f t="shared" si="27"/>
        <v>Closed</v>
      </c>
      <c r="Q395" s="6">
        <v>5</v>
      </c>
      <c r="R395" s="7" t="s">
        <v>196</v>
      </c>
    </row>
    <row r="396" spans="1:18" x14ac:dyDescent="0.35">
      <c r="A396" s="6">
        <v>395</v>
      </c>
      <c r="B396" s="7" t="s">
        <v>592</v>
      </c>
      <c r="C396" s="6">
        <v>8</v>
      </c>
      <c r="D396" s="6">
        <v>7</v>
      </c>
      <c r="E396" s="6">
        <v>12</v>
      </c>
      <c r="F396" s="6">
        <v>5</v>
      </c>
      <c r="G396" s="9">
        <v>45809.509756944499</v>
      </c>
      <c r="H396" s="9">
        <v>45809.593090277798</v>
      </c>
      <c r="I396" s="9">
        <v>45810.263923611099</v>
      </c>
      <c r="J396" s="9">
        <v>45810.513923611099</v>
      </c>
      <c r="K396" s="7" t="s">
        <v>198</v>
      </c>
      <c r="L396" s="10">
        <f t="shared" si="24"/>
        <v>1.9999999991850927</v>
      </c>
      <c r="M396" s="10">
        <f t="shared" si="25"/>
        <v>16.099999999220017</v>
      </c>
      <c r="N396" s="10">
        <f t="shared" si="26"/>
        <v>24.09999999840511</v>
      </c>
      <c r="O396" s="7" t="str">
        <f>IF(ISBLANK(I396),"N/A",IF(((I396-H396)*24)&gt;INDEX(Dim_ServiceType!$E$2:$E$16,MATCH(E396,Dim_ServiceType!$A$2:$A$16,0)),"Yes","No"))</f>
        <v>No</v>
      </c>
      <c r="P396" s="7" t="str">
        <f t="shared" si="27"/>
        <v>Closed</v>
      </c>
      <c r="Q396" s="6">
        <v>4</v>
      </c>
      <c r="R396" s="7" t="s">
        <v>196</v>
      </c>
    </row>
    <row r="397" spans="1:18" x14ac:dyDescent="0.35">
      <c r="A397" s="6">
        <v>396</v>
      </c>
      <c r="B397" s="7" t="s">
        <v>593</v>
      </c>
      <c r="C397" s="6">
        <v>4</v>
      </c>
      <c r="D397" s="6">
        <v>9</v>
      </c>
      <c r="E397" s="6">
        <v>10</v>
      </c>
      <c r="F397" s="6">
        <v>3</v>
      </c>
      <c r="G397" s="9">
        <v>45950.112812500003</v>
      </c>
      <c r="H397" s="9">
        <v>45950.133645833303</v>
      </c>
      <c r="I397" s="9">
        <v>45950.246145833298</v>
      </c>
      <c r="J397" s="9">
        <v>45950.287812499999</v>
      </c>
      <c r="K397" s="7" t="s">
        <v>195</v>
      </c>
      <c r="L397" s="10">
        <f t="shared" si="24"/>
        <v>0.49999999918509275</v>
      </c>
      <c r="M397" s="10">
        <f t="shared" si="25"/>
        <v>2.6999999998952262</v>
      </c>
      <c r="N397" s="10">
        <f t="shared" si="26"/>
        <v>4.1999999998952262</v>
      </c>
      <c r="O397" s="7" t="str">
        <f>IF(ISBLANK(I397),"N/A",IF(((I397-H397)*24)&gt;INDEX(Dim_ServiceType!$E$2:$E$16,MATCH(E397,Dim_ServiceType!$A$2:$A$16,0)),"Yes","No"))</f>
        <v>No</v>
      </c>
      <c r="P397" s="7" t="str">
        <f t="shared" si="27"/>
        <v>Closed</v>
      </c>
      <c r="Q397" s="6">
        <v>5</v>
      </c>
      <c r="R397" s="7" t="s">
        <v>196</v>
      </c>
    </row>
    <row r="398" spans="1:18" x14ac:dyDescent="0.35">
      <c r="A398" s="6">
        <v>397</v>
      </c>
      <c r="B398" s="7" t="s">
        <v>594</v>
      </c>
      <c r="C398" s="6">
        <v>1</v>
      </c>
      <c r="D398" s="6">
        <v>6</v>
      </c>
      <c r="E398" s="6">
        <v>4</v>
      </c>
      <c r="F398" s="6">
        <v>15</v>
      </c>
      <c r="G398" s="9">
        <v>45942.820567129602</v>
      </c>
      <c r="H398" s="9">
        <v>45943.153900463003</v>
      </c>
      <c r="I398" s="9">
        <v>45944.333067129599</v>
      </c>
      <c r="J398" s="9">
        <v>45944.416400463</v>
      </c>
      <c r="K398" s="7" t="s">
        <v>207</v>
      </c>
      <c r="L398" s="10">
        <f t="shared" si="24"/>
        <v>8.0000000016298145</v>
      </c>
      <c r="M398" s="10">
        <f t="shared" si="25"/>
        <v>28.299999998300336</v>
      </c>
      <c r="N398" s="10">
        <f t="shared" si="26"/>
        <v>38.300000001559965</v>
      </c>
      <c r="O398" s="7" t="str">
        <f>IF(ISBLANK(I398),"N/A",IF(((I398-H398)*24)&gt;INDEX(Dim_ServiceType!$E$2:$E$16,MATCH(E398,Dim_ServiceType!$A$2:$A$16,0)),"Yes","No"))</f>
        <v>Yes</v>
      </c>
      <c r="P398" s="7" t="str">
        <f t="shared" si="27"/>
        <v>Closed</v>
      </c>
      <c r="Q398" s="6">
        <v>1</v>
      </c>
      <c r="R398" s="7" t="s">
        <v>196</v>
      </c>
    </row>
    <row r="399" spans="1:18" x14ac:dyDescent="0.35">
      <c r="A399" s="6">
        <v>398</v>
      </c>
      <c r="B399" s="7" t="s">
        <v>595</v>
      </c>
      <c r="C399" s="6">
        <v>9</v>
      </c>
      <c r="D399" s="6">
        <v>5</v>
      </c>
      <c r="E399" s="6">
        <v>14</v>
      </c>
      <c r="F399" s="6">
        <v>12</v>
      </c>
      <c r="G399" s="9">
        <v>45876.077071759297</v>
      </c>
      <c r="H399" s="9">
        <v>45876.160405092603</v>
      </c>
      <c r="I399" s="9"/>
      <c r="J399" s="9"/>
      <c r="K399" s="7" t="s">
        <v>192</v>
      </c>
      <c r="L399" s="10">
        <f t="shared" si="24"/>
        <v>1.9999999993597157</v>
      </c>
      <c r="M399" s="10" t="str">
        <f t="shared" si="25"/>
        <v/>
      </c>
      <c r="N399" s="10" t="str">
        <f t="shared" si="26"/>
        <v/>
      </c>
      <c r="O399" s="7" t="str">
        <f>IF(ISBLANK(I399),"N/A",IF(((I399-H399)*24)&gt;INDEX(Dim_ServiceType!$E$2:$E$16,MATCH(E399,Dim_ServiceType!$A$2:$A$16,0)),"Yes","No"))</f>
        <v>N/A</v>
      </c>
      <c r="P399" s="7" t="str">
        <f t="shared" si="27"/>
        <v>In Progress</v>
      </c>
      <c r="Q399" s="6"/>
      <c r="R399" s="7"/>
    </row>
    <row r="400" spans="1:18" x14ac:dyDescent="0.35">
      <c r="A400" s="6">
        <v>399</v>
      </c>
      <c r="B400" s="7" t="s">
        <v>596</v>
      </c>
      <c r="C400" s="6">
        <v>1</v>
      </c>
      <c r="D400" s="6">
        <v>9</v>
      </c>
      <c r="E400" s="6">
        <v>12</v>
      </c>
      <c r="F400" s="6">
        <v>13</v>
      </c>
      <c r="G400" s="9">
        <v>45847.490555555603</v>
      </c>
      <c r="H400" s="9">
        <v>45847.511388888903</v>
      </c>
      <c r="I400" s="9">
        <v>45848.703055555598</v>
      </c>
      <c r="J400" s="9">
        <v>45848.869722222204</v>
      </c>
      <c r="K400" s="7" t="s">
        <v>195</v>
      </c>
      <c r="L400" s="10">
        <f t="shared" si="24"/>
        <v>0.49999999918509275</v>
      </c>
      <c r="M400" s="10">
        <f t="shared" si="25"/>
        <v>28.600000000675209</v>
      </c>
      <c r="N400" s="10">
        <f t="shared" si="26"/>
        <v>33.09999999840511</v>
      </c>
      <c r="O400" s="7" t="str">
        <f>IF(ISBLANK(I400),"N/A",IF(((I400-H400)*24)&gt;INDEX(Dim_ServiceType!$E$2:$E$16,MATCH(E400,Dim_ServiceType!$A$2:$A$16,0)),"Yes","No"))</f>
        <v>Yes</v>
      </c>
      <c r="P400" s="7" t="str">
        <f t="shared" si="27"/>
        <v>Closed</v>
      </c>
      <c r="Q400" s="6">
        <v>2</v>
      </c>
      <c r="R400" s="7" t="s">
        <v>196</v>
      </c>
    </row>
    <row r="401" spans="1:18" x14ac:dyDescent="0.35">
      <c r="A401" s="6">
        <v>400</v>
      </c>
      <c r="B401" s="7" t="s">
        <v>597</v>
      </c>
      <c r="C401" s="6">
        <v>5</v>
      </c>
      <c r="D401" s="6">
        <v>10</v>
      </c>
      <c r="E401" s="6">
        <v>12</v>
      </c>
      <c r="F401" s="6">
        <v>6</v>
      </c>
      <c r="G401" s="9">
        <v>45748.172500000001</v>
      </c>
      <c r="H401" s="9">
        <v>45748.214166666701</v>
      </c>
      <c r="I401" s="9">
        <v>45749.464166666701</v>
      </c>
      <c r="J401" s="9">
        <v>45749.964166666701</v>
      </c>
      <c r="K401" s="7" t="s">
        <v>200</v>
      </c>
      <c r="L401" s="10">
        <f t="shared" si="24"/>
        <v>1.0000000008149073</v>
      </c>
      <c r="M401" s="10">
        <f t="shared" si="25"/>
        <v>30</v>
      </c>
      <c r="N401" s="10">
        <f t="shared" si="26"/>
        <v>43.000000000814907</v>
      </c>
      <c r="O401" s="7" t="str">
        <f>IF(ISBLANK(I401),"N/A",IF(((I401-H401)*24)&gt;INDEX(Dim_ServiceType!$E$2:$E$16,MATCH(E401,Dim_ServiceType!$A$2:$A$16,0)),"Yes","No"))</f>
        <v>Yes</v>
      </c>
      <c r="P401" s="7" t="str">
        <f t="shared" si="27"/>
        <v>Closed</v>
      </c>
      <c r="Q401" s="6">
        <v>3</v>
      </c>
      <c r="R401" s="7" t="s">
        <v>196</v>
      </c>
    </row>
    <row r="402" spans="1:18" x14ac:dyDescent="0.35">
      <c r="A402" s="6">
        <v>401</v>
      </c>
      <c r="B402" s="7" t="s">
        <v>598</v>
      </c>
      <c r="C402" s="6">
        <v>11</v>
      </c>
      <c r="D402" s="6">
        <v>15</v>
      </c>
      <c r="E402" s="6">
        <v>10</v>
      </c>
      <c r="F402" s="6">
        <v>1</v>
      </c>
      <c r="G402" s="9">
        <v>45748.141493055598</v>
      </c>
      <c r="H402" s="9">
        <v>45748.308159722197</v>
      </c>
      <c r="I402" s="9"/>
      <c r="J402" s="9"/>
      <c r="K402" s="7" t="s">
        <v>195</v>
      </c>
      <c r="L402" s="10">
        <f t="shared" si="24"/>
        <v>3.9999999983701855</v>
      </c>
      <c r="M402" s="10" t="str">
        <f t="shared" si="25"/>
        <v/>
      </c>
      <c r="N402" s="10" t="str">
        <f t="shared" si="26"/>
        <v/>
      </c>
      <c r="O402" s="7" t="str">
        <f>IF(ISBLANK(I402),"N/A",IF(((I402-H402)*24)&gt;INDEX(Dim_ServiceType!$E$2:$E$16,MATCH(E402,Dim_ServiceType!$A$2:$A$16,0)),"Yes","No"))</f>
        <v>N/A</v>
      </c>
      <c r="P402" s="7" t="str">
        <f t="shared" si="27"/>
        <v>In Progress</v>
      </c>
      <c r="Q402" s="6"/>
      <c r="R402" s="7"/>
    </row>
    <row r="403" spans="1:18" x14ac:dyDescent="0.35">
      <c r="A403" s="6">
        <v>402</v>
      </c>
      <c r="B403" s="7" t="s">
        <v>599</v>
      </c>
      <c r="C403" s="6">
        <v>6</v>
      </c>
      <c r="D403" s="6">
        <v>5</v>
      </c>
      <c r="E403" s="6">
        <v>1</v>
      </c>
      <c r="F403" s="6">
        <v>4</v>
      </c>
      <c r="G403" s="9">
        <v>45982.394004629597</v>
      </c>
      <c r="H403" s="9">
        <v>45983.144004629597</v>
      </c>
      <c r="I403" s="9">
        <v>45983.289837962999</v>
      </c>
      <c r="J403" s="9">
        <v>45984.289837962999</v>
      </c>
      <c r="K403" s="7" t="s">
        <v>200</v>
      </c>
      <c r="L403" s="10">
        <f t="shared" si="24"/>
        <v>18</v>
      </c>
      <c r="M403" s="10">
        <f t="shared" si="25"/>
        <v>3.5000000016298145</v>
      </c>
      <c r="N403" s="10">
        <f t="shared" si="26"/>
        <v>45.500000001629815</v>
      </c>
      <c r="O403" s="7" t="str">
        <f>IF(ISBLANK(I403),"N/A",IF(((I403-H403)*24)&gt;INDEX(Dim_ServiceType!$E$2:$E$16,MATCH(E403,Dim_ServiceType!$A$2:$A$16,0)),"Yes","No"))</f>
        <v>No</v>
      </c>
      <c r="P403" s="7" t="str">
        <f t="shared" si="27"/>
        <v>Closed</v>
      </c>
      <c r="Q403" s="6">
        <v>2</v>
      </c>
      <c r="R403" s="7" t="s">
        <v>196</v>
      </c>
    </row>
    <row r="404" spans="1:18" x14ac:dyDescent="0.35">
      <c r="A404" s="6">
        <v>403</v>
      </c>
      <c r="B404" s="7" t="s">
        <v>600</v>
      </c>
      <c r="C404" s="6">
        <v>15</v>
      </c>
      <c r="D404" s="6">
        <v>8</v>
      </c>
      <c r="E404" s="6">
        <v>3</v>
      </c>
      <c r="F404" s="6">
        <v>3</v>
      </c>
      <c r="G404" s="9">
        <v>45714.272962962998</v>
      </c>
      <c r="H404" s="9">
        <v>45714.356296296297</v>
      </c>
      <c r="I404" s="9">
        <v>45715.806296296301</v>
      </c>
      <c r="J404" s="9">
        <v>45715.972962963002</v>
      </c>
      <c r="K404" s="7" t="s">
        <v>198</v>
      </c>
      <c r="L404" s="10">
        <f t="shared" si="24"/>
        <v>1.9999999991850927</v>
      </c>
      <c r="M404" s="10">
        <f t="shared" si="25"/>
        <v>34.800000000104774</v>
      </c>
      <c r="N404" s="10">
        <f t="shared" si="26"/>
        <v>40.800000000104774</v>
      </c>
      <c r="O404" s="7" t="str">
        <f>IF(ISBLANK(I404),"N/A",IF(((I404-H404)*24)&gt;INDEX(Dim_ServiceType!$E$2:$E$16,MATCH(E404,Dim_ServiceType!$A$2:$A$16,0)),"Yes","No"))</f>
        <v>Yes</v>
      </c>
      <c r="P404" s="7" t="str">
        <f t="shared" si="27"/>
        <v>Closed</v>
      </c>
      <c r="Q404" s="6">
        <v>2</v>
      </c>
      <c r="R404" s="7" t="s">
        <v>196</v>
      </c>
    </row>
    <row r="405" spans="1:18" x14ac:dyDescent="0.35">
      <c r="A405" s="6">
        <v>404</v>
      </c>
      <c r="B405" s="7" t="s">
        <v>601</v>
      </c>
      <c r="C405" s="6">
        <v>10</v>
      </c>
      <c r="D405" s="6">
        <v>12</v>
      </c>
      <c r="E405" s="6">
        <v>6</v>
      </c>
      <c r="F405" s="6">
        <v>2</v>
      </c>
      <c r="G405" s="9">
        <v>45967.753854166702</v>
      </c>
      <c r="H405" s="9">
        <v>45967.878854166702</v>
      </c>
      <c r="I405" s="9"/>
      <c r="J405" s="9"/>
      <c r="K405" s="7" t="s">
        <v>207</v>
      </c>
      <c r="L405" s="10">
        <f t="shared" si="24"/>
        <v>3</v>
      </c>
      <c r="M405" s="10" t="str">
        <f t="shared" si="25"/>
        <v/>
      </c>
      <c r="N405" s="10" t="str">
        <f t="shared" si="26"/>
        <v/>
      </c>
      <c r="O405" s="7" t="str">
        <f>IF(ISBLANK(I405),"N/A",IF(((I405-H405)*24)&gt;INDEX(Dim_ServiceType!$E$2:$E$16,MATCH(E405,Dim_ServiceType!$A$2:$A$16,0)),"Yes","No"))</f>
        <v>N/A</v>
      </c>
      <c r="P405" s="7" t="str">
        <f t="shared" si="27"/>
        <v>In Progress</v>
      </c>
      <c r="Q405" s="6"/>
      <c r="R405" s="7"/>
    </row>
    <row r="406" spans="1:18" x14ac:dyDescent="0.35">
      <c r="A406" s="6">
        <v>405</v>
      </c>
      <c r="B406" s="7" t="s">
        <v>602</v>
      </c>
      <c r="C406" s="6">
        <v>8</v>
      </c>
      <c r="D406" s="6">
        <v>8</v>
      </c>
      <c r="E406" s="6">
        <v>9</v>
      </c>
      <c r="F406" s="6">
        <v>13</v>
      </c>
      <c r="G406" s="9">
        <v>45937.983425925901</v>
      </c>
      <c r="H406" s="9">
        <v>45938.025092592601</v>
      </c>
      <c r="I406" s="9">
        <v>45941.050092592603</v>
      </c>
      <c r="J406" s="9">
        <v>45941.216759259303</v>
      </c>
      <c r="K406" s="7" t="s">
        <v>195</v>
      </c>
      <c r="L406" s="10">
        <f t="shared" si="24"/>
        <v>1.0000000008149073</v>
      </c>
      <c r="M406" s="10">
        <f t="shared" si="25"/>
        <v>72.600000000034925</v>
      </c>
      <c r="N406" s="10">
        <f t="shared" si="26"/>
        <v>77.600000001664739</v>
      </c>
      <c r="O406" s="7" t="str">
        <f>IF(ISBLANK(I406),"N/A",IF(((I406-H406)*24)&gt;INDEX(Dim_ServiceType!$E$2:$E$16,MATCH(E406,Dim_ServiceType!$A$2:$A$16,0)),"Yes","No"))</f>
        <v>Yes</v>
      </c>
      <c r="P406" s="7" t="str">
        <f t="shared" si="27"/>
        <v>Closed</v>
      </c>
      <c r="Q406" s="6">
        <v>3</v>
      </c>
      <c r="R406" s="7" t="s">
        <v>196</v>
      </c>
    </row>
    <row r="407" spans="1:18" x14ac:dyDescent="0.35">
      <c r="A407" s="6">
        <v>406</v>
      </c>
      <c r="B407" s="7" t="s">
        <v>603</v>
      </c>
      <c r="C407" s="6">
        <v>10</v>
      </c>
      <c r="D407" s="6">
        <v>11</v>
      </c>
      <c r="E407" s="6">
        <v>4</v>
      </c>
      <c r="F407" s="6">
        <v>13</v>
      </c>
      <c r="G407" s="9">
        <v>45998.548148148198</v>
      </c>
      <c r="H407" s="9"/>
      <c r="I407" s="9"/>
      <c r="J407" s="9"/>
      <c r="K407" s="7" t="s">
        <v>195</v>
      </c>
      <c r="L407" s="10" t="str">
        <f t="shared" si="24"/>
        <v/>
      </c>
      <c r="M407" s="10" t="str">
        <f t="shared" si="25"/>
        <v/>
      </c>
      <c r="N407" s="10" t="str">
        <f t="shared" si="26"/>
        <v/>
      </c>
      <c r="O407" s="7" t="str">
        <f>IF(ISBLANK(I407),"N/A",IF(((I407-H407)*24)&gt;INDEX(Dim_ServiceType!$E$2:$E$16,MATCH(E407,Dim_ServiceType!$A$2:$A$16,0)),"Yes","No"))</f>
        <v>N/A</v>
      </c>
      <c r="P407" s="7" t="str">
        <f t="shared" si="27"/>
        <v>Open (Unassigned)</v>
      </c>
      <c r="Q407" s="6"/>
      <c r="R407" s="7"/>
    </row>
    <row r="408" spans="1:18" x14ac:dyDescent="0.35">
      <c r="A408" s="6">
        <v>407</v>
      </c>
      <c r="B408" s="7" t="s">
        <v>604</v>
      </c>
      <c r="C408" s="6">
        <v>7</v>
      </c>
      <c r="D408" s="6">
        <v>10</v>
      </c>
      <c r="E408" s="6">
        <v>10</v>
      </c>
      <c r="F408" s="6">
        <v>5</v>
      </c>
      <c r="G408" s="9">
        <v>45753.962361111102</v>
      </c>
      <c r="H408" s="9">
        <v>45754.295694444401</v>
      </c>
      <c r="I408" s="9">
        <v>45754.587361111102</v>
      </c>
      <c r="J408" s="9">
        <v>45754.629027777803</v>
      </c>
      <c r="K408" s="7" t="s">
        <v>200</v>
      </c>
      <c r="L408" s="10">
        <f t="shared" si="24"/>
        <v>7.9999999991850927</v>
      </c>
      <c r="M408" s="10">
        <f t="shared" si="25"/>
        <v>7.0000000008149073</v>
      </c>
      <c r="N408" s="10">
        <f t="shared" si="26"/>
        <v>16.000000000814907</v>
      </c>
      <c r="O408" s="7" t="str">
        <f>IF(ISBLANK(I408),"N/A",IF(((I408-H408)*24)&gt;INDEX(Dim_ServiceType!$E$2:$E$16,MATCH(E408,Dim_ServiceType!$A$2:$A$16,0)),"Yes","No"))</f>
        <v>Yes</v>
      </c>
      <c r="P408" s="7" t="str">
        <f t="shared" si="27"/>
        <v>Closed</v>
      </c>
      <c r="Q408" s="6">
        <v>3</v>
      </c>
      <c r="R408" s="7" t="s">
        <v>196</v>
      </c>
    </row>
    <row r="409" spans="1:18" x14ac:dyDescent="0.35">
      <c r="A409" s="6">
        <v>408</v>
      </c>
      <c r="B409" s="7" t="s">
        <v>605</v>
      </c>
      <c r="C409" s="6">
        <v>10</v>
      </c>
      <c r="D409" s="6">
        <v>3</v>
      </c>
      <c r="E409" s="6">
        <v>10</v>
      </c>
      <c r="F409" s="6">
        <v>7</v>
      </c>
      <c r="G409" s="9">
        <v>45827.335995370398</v>
      </c>
      <c r="H409" s="9">
        <v>45827.502662036997</v>
      </c>
      <c r="I409" s="9">
        <v>45827.6109953704</v>
      </c>
      <c r="J409" s="9">
        <v>45827.652662036999</v>
      </c>
      <c r="K409" s="7" t="s">
        <v>192</v>
      </c>
      <c r="L409" s="10">
        <f t="shared" si="24"/>
        <v>3.9999999983701855</v>
      </c>
      <c r="M409" s="10">
        <f t="shared" si="25"/>
        <v>2.6000000016647391</v>
      </c>
      <c r="N409" s="10">
        <f t="shared" si="26"/>
        <v>7.5999999984051101</v>
      </c>
      <c r="O409" s="7" t="str">
        <f>IF(ISBLANK(I409),"N/A",IF(((I409-H409)*24)&gt;INDEX(Dim_ServiceType!$E$2:$E$16,MATCH(E409,Dim_ServiceType!$A$2:$A$16,0)),"Yes","No"))</f>
        <v>No</v>
      </c>
      <c r="P409" s="7" t="str">
        <f t="shared" si="27"/>
        <v>Closed</v>
      </c>
      <c r="Q409" s="6">
        <v>5</v>
      </c>
      <c r="R409" s="7" t="s">
        <v>196</v>
      </c>
    </row>
    <row r="410" spans="1:18" x14ac:dyDescent="0.35">
      <c r="A410" s="6">
        <v>409</v>
      </c>
      <c r="B410" s="7" t="s">
        <v>606</v>
      </c>
      <c r="C410" s="6">
        <v>14</v>
      </c>
      <c r="D410" s="6">
        <v>1</v>
      </c>
      <c r="E410" s="6">
        <v>12</v>
      </c>
      <c r="F410" s="6">
        <v>6</v>
      </c>
      <c r="G410" s="9">
        <v>45755.3663773148</v>
      </c>
      <c r="H410" s="9">
        <v>45756.1163773148</v>
      </c>
      <c r="I410" s="9">
        <v>45757.224710648101</v>
      </c>
      <c r="J410" s="9">
        <v>45757.474710648101</v>
      </c>
      <c r="K410" s="7" t="s">
        <v>207</v>
      </c>
      <c r="L410" s="10">
        <f t="shared" si="24"/>
        <v>18</v>
      </c>
      <c r="M410" s="10">
        <f t="shared" si="25"/>
        <v>26.599999999220017</v>
      </c>
      <c r="N410" s="10">
        <f t="shared" si="26"/>
        <v>50.599999999220017</v>
      </c>
      <c r="O410" s="7" t="str">
        <f>IF(ISBLANK(I410),"N/A",IF(((I410-H410)*24)&gt;INDEX(Dim_ServiceType!$E$2:$E$16,MATCH(E410,Dim_ServiceType!$A$2:$A$16,0)),"Yes","No"))</f>
        <v>Yes</v>
      </c>
      <c r="P410" s="7" t="str">
        <f t="shared" si="27"/>
        <v>Closed</v>
      </c>
      <c r="Q410" s="6">
        <v>5</v>
      </c>
      <c r="R410" s="7" t="s">
        <v>196</v>
      </c>
    </row>
    <row r="411" spans="1:18" x14ac:dyDescent="0.35">
      <c r="A411" s="6">
        <v>410</v>
      </c>
      <c r="B411" s="7" t="s">
        <v>607</v>
      </c>
      <c r="C411" s="6">
        <v>2</v>
      </c>
      <c r="D411" s="6">
        <v>11</v>
      </c>
      <c r="E411" s="6">
        <v>15</v>
      </c>
      <c r="F411" s="6">
        <v>7</v>
      </c>
      <c r="G411" s="9">
        <v>45743.866203703699</v>
      </c>
      <c r="H411" s="9">
        <v>45744.199537036999</v>
      </c>
      <c r="I411" s="9">
        <v>45745.449537036999</v>
      </c>
      <c r="J411" s="9">
        <v>45745.491203703699</v>
      </c>
      <c r="K411" s="7" t="s">
        <v>198</v>
      </c>
      <c r="L411" s="10">
        <f t="shared" si="24"/>
        <v>7.9999999991850927</v>
      </c>
      <c r="M411" s="10">
        <f t="shared" si="25"/>
        <v>30</v>
      </c>
      <c r="N411" s="10">
        <f t="shared" si="26"/>
        <v>39</v>
      </c>
      <c r="O411" s="7" t="str">
        <f>IF(ISBLANK(I411),"N/A",IF(((I411-H411)*24)&gt;INDEX(Dim_ServiceType!$E$2:$E$16,MATCH(E411,Dim_ServiceType!$A$2:$A$16,0)),"Yes","No"))</f>
        <v>Yes</v>
      </c>
      <c r="P411" s="7" t="str">
        <f t="shared" si="27"/>
        <v>Closed</v>
      </c>
      <c r="Q411" s="6">
        <v>1</v>
      </c>
      <c r="R411" s="7" t="s">
        <v>196</v>
      </c>
    </row>
    <row r="412" spans="1:18" x14ac:dyDescent="0.35">
      <c r="A412" s="6">
        <v>411</v>
      </c>
      <c r="B412" s="7" t="s">
        <v>608</v>
      </c>
      <c r="C412" s="6">
        <v>5</v>
      </c>
      <c r="D412" s="6">
        <v>4</v>
      </c>
      <c r="E412" s="6">
        <v>9</v>
      </c>
      <c r="F412" s="6">
        <v>2</v>
      </c>
      <c r="G412" s="9">
        <v>45876.243611111102</v>
      </c>
      <c r="H412" s="9">
        <v>45876.285277777803</v>
      </c>
      <c r="I412" s="9">
        <v>45878.806111111102</v>
      </c>
      <c r="J412" s="9">
        <v>45879.806111111102</v>
      </c>
      <c r="K412" s="7" t="s">
        <v>195</v>
      </c>
      <c r="L412" s="10">
        <f t="shared" si="24"/>
        <v>1.0000000008149073</v>
      </c>
      <c r="M412" s="10">
        <f t="shared" si="25"/>
        <v>60.499999999185093</v>
      </c>
      <c r="N412" s="10">
        <f t="shared" si="26"/>
        <v>85.5</v>
      </c>
      <c r="O412" s="7" t="str">
        <f>IF(ISBLANK(I412),"N/A",IF(((I412-H412)*24)&gt;INDEX(Dim_ServiceType!$E$2:$E$16,MATCH(E412,Dim_ServiceType!$A$2:$A$16,0)),"Yes","No"))</f>
        <v>No</v>
      </c>
      <c r="P412" s="7" t="str">
        <f t="shared" si="27"/>
        <v>Closed</v>
      </c>
      <c r="Q412" s="6">
        <v>4</v>
      </c>
      <c r="R412" s="7" t="s">
        <v>196</v>
      </c>
    </row>
    <row r="413" spans="1:18" x14ac:dyDescent="0.35">
      <c r="A413" s="6">
        <v>412</v>
      </c>
      <c r="B413" s="7" t="s">
        <v>609</v>
      </c>
      <c r="C413" s="6">
        <v>1</v>
      </c>
      <c r="D413" s="6">
        <v>8</v>
      </c>
      <c r="E413" s="6">
        <v>1</v>
      </c>
      <c r="F413" s="6">
        <v>7</v>
      </c>
      <c r="G413" s="9">
        <v>45895.221516203703</v>
      </c>
      <c r="H413" s="9">
        <v>45895.971516203703</v>
      </c>
      <c r="I413" s="9">
        <v>45896.100682870398</v>
      </c>
      <c r="J413" s="9">
        <v>45896.142349537004</v>
      </c>
      <c r="K413" s="7" t="s">
        <v>195</v>
      </c>
      <c r="L413" s="10">
        <f t="shared" si="24"/>
        <v>18</v>
      </c>
      <c r="M413" s="10">
        <f t="shared" si="25"/>
        <v>3.1000000006752089</v>
      </c>
      <c r="N413" s="10">
        <f t="shared" si="26"/>
        <v>22.099999999220017</v>
      </c>
      <c r="O413" s="7" t="str">
        <f>IF(ISBLANK(I413),"N/A",IF(((I413-H413)*24)&gt;INDEX(Dim_ServiceType!$E$2:$E$16,MATCH(E413,Dim_ServiceType!$A$2:$A$16,0)),"Yes","No"))</f>
        <v>No</v>
      </c>
      <c r="P413" s="7" t="str">
        <f t="shared" si="27"/>
        <v>Closed</v>
      </c>
      <c r="Q413" s="6">
        <v>4</v>
      </c>
      <c r="R413" s="7" t="s">
        <v>196</v>
      </c>
    </row>
    <row r="414" spans="1:18" x14ac:dyDescent="0.35">
      <c r="A414" s="6">
        <v>413</v>
      </c>
      <c r="B414" s="7" t="s">
        <v>610</v>
      </c>
      <c r="C414" s="6">
        <v>10</v>
      </c>
      <c r="D414" s="6">
        <v>15</v>
      </c>
      <c r="E414" s="6">
        <v>13</v>
      </c>
      <c r="F414" s="6">
        <v>14</v>
      </c>
      <c r="G414" s="9">
        <v>45923.641539351898</v>
      </c>
      <c r="H414" s="9">
        <v>45924.641539351898</v>
      </c>
      <c r="I414" s="9">
        <v>45925.066539351901</v>
      </c>
      <c r="J414" s="9">
        <v>45925.566539351901</v>
      </c>
      <c r="K414" s="7" t="s">
        <v>200</v>
      </c>
      <c r="L414" s="10">
        <f t="shared" si="24"/>
        <v>24</v>
      </c>
      <c r="M414" s="10">
        <f t="shared" si="25"/>
        <v>10.200000000069849</v>
      </c>
      <c r="N414" s="10">
        <f t="shared" si="26"/>
        <v>46.200000000069849</v>
      </c>
      <c r="O414" s="7" t="str">
        <f>IF(ISBLANK(I414),"N/A",IF(((I414-H414)*24)&gt;INDEX(Dim_ServiceType!$E$2:$E$16,MATCH(E414,Dim_ServiceType!$A$2:$A$16,0)),"Yes","No"))</f>
        <v>No</v>
      </c>
      <c r="P414" s="7" t="str">
        <f t="shared" si="27"/>
        <v>Closed</v>
      </c>
      <c r="Q414" s="6">
        <v>5</v>
      </c>
      <c r="R414" s="7" t="s">
        <v>196</v>
      </c>
    </row>
    <row r="415" spans="1:18" x14ac:dyDescent="0.35">
      <c r="A415" s="6">
        <v>414</v>
      </c>
      <c r="B415" s="7" t="s">
        <v>611</v>
      </c>
      <c r="C415" s="6">
        <v>3</v>
      </c>
      <c r="D415" s="6">
        <v>5</v>
      </c>
      <c r="E415" s="6">
        <v>2</v>
      </c>
      <c r="F415" s="6">
        <v>5</v>
      </c>
      <c r="G415" s="9">
        <v>45791.600613425901</v>
      </c>
      <c r="H415" s="9">
        <v>45792.600613425901</v>
      </c>
      <c r="I415" s="9">
        <v>45792.829780092601</v>
      </c>
      <c r="J415" s="9">
        <v>45792.850613425901</v>
      </c>
      <c r="K415" s="7" t="s">
        <v>195</v>
      </c>
      <c r="L415" s="10">
        <f t="shared" si="24"/>
        <v>24</v>
      </c>
      <c r="M415" s="10">
        <f t="shared" si="25"/>
        <v>5.5000000008149073</v>
      </c>
      <c r="N415" s="10">
        <f t="shared" si="26"/>
        <v>30</v>
      </c>
      <c r="O415" s="7" t="str">
        <f>IF(ISBLANK(I415),"N/A",IF(((I415-H415)*24)&gt;INDEX(Dim_ServiceType!$E$2:$E$16,MATCH(E415,Dim_ServiceType!$A$2:$A$16,0)),"Yes","No"))</f>
        <v>No</v>
      </c>
      <c r="P415" s="7" t="str">
        <f t="shared" si="27"/>
        <v>Closed</v>
      </c>
      <c r="Q415" s="6">
        <v>1</v>
      </c>
      <c r="R415" s="7" t="s">
        <v>196</v>
      </c>
    </row>
    <row r="416" spans="1:18" x14ac:dyDescent="0.35">
      <c r="A416" s="6">
        <v>415</v>
      </c>
      <c r="B416" s="7" t="s">
        <v>612</v>
      </c>
      <c r="C416" s="6">
        <v>14</v>
      </c>
      <c r="D416" s="6">
        <v>3</v>
      </c>
      <c r="E416" s="6">
        <v>12</v>
      </c>
      <c r="F416" s="6">
        <v>13</v>
      </c>
      <c r="G416" s="9">
        <v>45797.793298611097</v>
      </c>
      <c r="H416" s="9">
        <v>45797.814131944499</v>
      </c>
      <c r="I416" s="9">
        <v>45798.580798611103</v>
      </c>
      <c r="J416" s="9">
        <v>45799.080798611103</v>
      </c>
      <c r="K416" s="7" t="s">
        <v>198</v>
      </c>
      <c r="L416" s="10">
        <f t="shared" si="24"/>
        <v>0.50000000162981451</v>
      </c>
      <c r="M416" s="10">
        <f t="shared" si="25"/>
        <v>18.399999998509884</v>
      </c>
      <c r="N416" s="10">
        <f t="shared" si="26"/>
        <v>30.900000000139698</v>
      </c>
      <c r="O416" s="7" t="str">
        <f>IF(ISBLANK(I416),"N/A",IF(((I416-H416)*24)&gt;INDEX(Dim_ServiceType!$E$2:$E$16,MATCH(E416,Dim_ServiceType!$A$2:$A$16,0)),"Yes","No"))</f>
        <v>No</v>
      </c>
      <c r="P416" s="7" t="str">
        <f t="shared" si="27"/>
        <v>Closed</v>
      </c>
      <c r="Q416" s="6">
        <v>5</v>
      </c>
      <c r="R416" s="7" t="s">
        <v>196</v>
      </c>
    </row>
    <row r="417" spans="1:18" x14ac:dyDescent="0.35">
      <c r="A417" s="6">
        <v>416</v>
      </c>
      <c r="B417" s="7" t="s">
        <v>613</v>
      </c>
      <c r="C417" s="6">
        <v>4</v>
      </c>
      <c r="D417" s="6">
        <v>14</v>
      </c>
      <c r="E417" s="6">
        <v>5</v>
      </c>
      <c r="F417" s="6">
        <v>6</v>
      </c>
      <c r="G417" s="9">
        <v>45943.335856481499</v>
      </c>
      <c r="H417" s="9">
        <v>45943.5025231482</v>
      </c>
      <c r="I417" s="9">
        <v>45943.927523148202</v>
      </c>
      <c r="J417" s="9">
        <v>45943.948356481502</v>
      </c>
      <c r="K417" s="7" t="s">
        <v>198</v>
      </c>
      <c r="L417" s="10">
        <f t="shared" si="24"/>
        <v>4.0000000008149073</v>
      </c>
      <c r="M417" s="10">
        <f t="shared" si="25"/>
        <v>10.200000000069849</v>
      </c>
      <c r="N417" s="10">
        <f t="shared" si="26"/>
        <v>14.700000000069849</v>
      </c>
      <c r="O417" s="7" t="str">
        <f>IF(ISBLANK(I417),"N/A",IF(((I417-H417)*24)&gt;INDEX(Dim_ServiceType!$E$2:$E$16,MATCH(E417,Dim_ServiceType!$A$2:$A$16,0)),"Yes","No"))</f>
        <v>No</v>
      </c>
      <c r="P417" s="7" t="str">
        <f t="shared" si="27"/>
        <v>Closed</v>
      </c>
      <c r="Q417" s="6">
        <v>1</v>
      </c>
      <c r="R417" s="7" t="s">
        <v>196</v>
      </c>
    </row>
    <row r="418" spans="1:18" x14ac:dyDescent="0.35">
      <c r="A418" s="6">
        <v>417</v>
      </c>
      <c r="B418" s="7" t="s">
        <v>614</v>
      </c>
      <c r="C418" s="6">
        <v>10</v>
      </c>
      <c r="D418" s="6">
        <v>2</v>
      </c>
      <c r="E418" s="6">
        <v>2</v>
      </c>
      <c r="F418" s="6">
        <v>2</v>
      </c>
      <c r="G418" s="9">
        <v>45994.805428240703</v>
      </c>
      <c r="H418" s="9"/>
      <c r="I418" s="9"/>
      <c r="J418" s="9"/>
      <c r="K418" s="7" t="s">
        <v>195</v>
      </c>
      <c r="L418" s="10" t="str">
        <f t="shared" si="24"/>
        <v/>
      </c>
      <c r="M418" s="10" t="str">
        <f t="shared" si="25"/>
        <v/>
      </c>
      <c r="N418" s="10" t="str">
        <f t="shared" si="26"/>
        <v/>
      </c>
      <c r="O418" s="7" t="str">
        <f>IF(ISBLANK(I418),"N/A",IF(((I418-H418)*24)&gt;INDEX(Dim_ServiceType!$E$2:$E$16,MATCH(E418,Dim_ServiceType!$A$2:$A$16,0)),"Yes","No"))</f>
        <v>N/A</v>
      </c>
      <c r="P418" s="7" t="str">
        <f t="shared" si="27"/>
        <v>Open (Unassigned)</v>
      </c>
      <c r="Q418" s="6"/>
      <c r="R418" s="7"/>
    </row>
    <row r="419" spans="1:18" x14ac:dyDescent="0.35">
      <c r="A419" s="6">
        <v>418</v>
      </c>
      <c r="B419" s="7" t="s">
        <v>615</v>
      </c>
      <c r="C419" s="6">
        <v>9</v>
      </c>
      <c r="D419" s="6">
        <v>7</v>
      </c>
      <c r="E419" s="6">
        <v>13</v>
      </c>
      <c r="F419" s="6">
        <v>14</v>
      </c>
      <c r="G419" s="9">
        <v>45928.891053240703</v>
      </c>
      <c r="H419" s="9">
        <v>45928.974386574097</v>
      </c>
      <c r="I419" s="9">
        <v>45929.949386574102</v>
      </c>
      <c r="J419" s="9">
        <v>45930.199386574102</v>
      </c>
      <c r="K419" s="7" t="s">
        <v>192</v>
      </c>
      <c r="L419" s="10">
        <f t="shared" si="24"/>
        <v>2.0000000014551915</v>
      </c>
      <c r="M419" s="10">
        <f t="shared" si="25"/>
        <v>23.400000000139698</v>
      </c>
      <c r="N419" s="10">
        <f t="shared" si="26"/>
        <v>31.40000000159489</v>
      </c>
      <c r="O419" s="7" t="str">
        <f>IF(ISBLANK(I419),"N/A",IF(((I419-H419)*24)&gt;INDEX(Dim_ServiceType!$E$2:$E$16,MATCH(E419,Dim_ServiceType!$A$2:$A$16,0)),"Yes","No"))</f>
        <v>No</v>
      </c>
      <c r="P419" s="7" t="str">
        <f t="shared" si="27"/>
        <v>Closed</v>
      </c>
      <c r="Q419" s="6">
        <v>2</v>
      </c>
      <c r="R419" s="7" t="s">
        <v>196</v>
      </c>
    </row>
    <row r="420" spans="1:18" x14ac:dyDescent="0.35">
      <c r="A420" s="6">
        <v>419</v>
      </c>
      <c r="B420" s="7" t="s">
        <v>616</v>
      </c>
      <c r="C420" s="6">
        <v>15</v>
      </c>
      <c r="D420" s="6">
        <v>15</v>
      </c>
      <c r="E420" s="6">
        <v>1</v>
      </c>
      <c r="F420" s="6">
        <v>12</v>
      </c>
      <c r="G420" s="9">
        <v>45914.625185185199</v>
      </c>
      <c r="H420" s="9">
        <v>45914.646018518499</v>
      </c>
      <c r="I420" s="9">
        <v>45915.4168518519</v>
      </c>
      <c r="J420" s="9">
        <v>45915.458518518499</v>
      </c>
      <c r="K420" s="7" t="s">
        <v>198</v>
      </c>
      <c r="L420" s="10">
        <f t="shared" si="24"/>
        <v>0.49999999918509275</v>
      </c>
      <c r="M420" s="10">
        <f t="shared" si="25"/>
        <v>18.500000001629815</v>
      </c>
      <c r="N420" s="10">
        <f t="shared" si="26"/>
        <v>19.999999999185093</v>
      </c>
      <c r="O420" s="7" t="str">
        <f>IF(ISBLANK(I420),"N/A",IF(((I420-H420)*24)&gt;INDEX(Dim_ServiceType!$E$2:$E$16,MATCH(E420,Dim_ServiceType!$A$2:$A$16,0)),"Yes","No"))</f>
        <v>Yes</v>
      </c>
      <c r="P420" s="7" t="str">
        <f t="shared" si="27"/>
        <v>Closed</v>
      </c>
      <c r="Q420" s="6">
        <v>5</v>
      </c>
      <c r="R420" s="7" t="s">
        <v>196</v>
      </c>
    </row>
    <row r="421" spans="1:18" x14ac:dyDescent="0.35">
      <c r="A421" s="6">
        <v>420</v>
      </c>
      <c r="B421" s="7" t="s">
        <v>617</v>
      </c>
      <c r="C421" s="6">
        <v>3</v>
      </c>
      <c r="D421" s="6">
        <v>10</v>
      </c>
      <c r="E421" s="6">
        <v>8</v>
      </c>
      <c r="F421" s="6">
        <v>10</v>
      </c>
      <c r="G421" s="9">
        <v>45945.929942129602</v>
      </c>
      <c r="H421" s="9">
        <v>45946.013275463003</v>
      </c>
      <c r="I421" s="9">
        <v>45946.313275462999</v>
      </c>
      <c r="J421" s="9">
        <v>45947.313275462999</v>
      </c>
      <c r="K421" s="7" t="s">
        <v>200</v>
      </c>
      <c r="L421" s="10">
        <f t="shared" si="24"/>
        <v>2.0000000016298145</v>
      </c>
      <c r="M421" s="10">
        <f t="shared" si="25"/>
        <v>7.1999999998952262</v>
      </c>
      <c r="N421" s="10">
        <f t="shared" si="26"/>
        <v>33.200000001525041</v>
      </c>
      <c r="O421" s="7" t="str">
        <f>IF(ISBLANK(I421),"N/A",IF(((I421-H421)*24)&gt;INDEX(Dim_ServiceType!$E$2:$E$16,MATCH(E421,Dim_ServiceType!$A$2:$A$16,0)),"Yes","No"))</f>
        <v>Yes</v>
      </c>
      <c r="P421" s="7" t="str">
        <f t="shared" si="27"/>
        <v>Closed</v>
      </c>
      <c r="Q421" s="6">
        <v>5</v>
      </c>
      <c r="R421" s="7" t="s">
        <v>196</v>
      </c>
    </row>
    <row r="422" spans="1:18" x14ac:dyDescent="0.35">
      <c r="A422" s="6">
        <v>421</v>
      </c>
      <c r="B422" s="7" t="s">
        <v>618</v>
      </c>
      <c r="C422" s="6">
        <v>10</v>
      </c>
      <c r="D422" s="6">
        <v>7</v>
      </c>
      <c r="E422" s="6">
        <v>2</v>
      </c>
      <c r="F422" s="6">
        <v>5</v>
      </c>
      <c r="G422" s="9">
        <v>45684.540787037004</v>
      </c>
      <c r="H422" s="9">
        <v>45685.040787037004</v>
      </c>
      <c r="I422" s="9">
        <v>45685.336620370399</v>
      </c>
      <c r="J422" s="9">
        <v>45685.503287036998</v>
      </c>
      <c r="K422" s="7" t="s">
        <v>192</v>
      </c>
      <c r="L422" s="10">
        <f t="shared" si="24"/>
        <v>12</v>
      </c>
      <c r="M422" s="10">
        <f t="shared" si="25"/>
        <v>7.1000000014901161</v>
      </c>
      <c r="N422" s="10">
        <f t="shared" si="26"/>
        <v>23.099999999860302</v>
      </c>
      <c r="O422" s="7" t="str">
        <f>IF(ISBLANK(I422),"N/A",IF(((I422-H422)*24)&gt;INDEX(Dim_ServiceType!$E$2:$E$16,MATCH(E422,Dim_ServiceType!$A$2:$A$16,0)),"Yes","No"))</f>
        <v>Yes</v>
      </c>
      <c r="P422" s="7" t="str">
        <f t="shared" si="27"/>
        <v>Closed</v>
      </c>
      <c r="Q422" s="6">
        <v>5</v>
      </c>
      <c r="R422" s="7" t="s">
        <v>196</v>
      </c>
    </row>
    <row r="423" spans="1:18" x14ac:dyDescent="0.35">
      <c r="A423" s="6">
        <v>422</v>
      </c>
      <c r="B423" s="7" t="s">
        <v>619</v>
      </c>
      <c r="C423" s="6">
        <v>5</v>
      </c>
      <c r="D423" s="6">
        <v>9</v>
      </c>
      <c r="E423" s="6">
        <v>13</v>
      </c>
      <c r="F423" s="6">
        <v>10</v>
      </c>
      <c r="G423" s="9">
        <v>45850.114247685196</v>
      </c>
      <c r="H423" s="9">
        <v>45850.614247685196</v>
      </c>
      <c r="I423" s="9">
        <v>45851.3309143519</v>
      </c>
      <c r="J423" s="9">
        <v>45851.5809143519</v>
      </c>
      <c r="K423" s="7" t="s">
        <v>192</v>
      </c>
      <c r="L423" s="10">
        <f t="shared" si="24"/>
        <v>12</v>
      </c>
      <c r="M423" s="10">
        <f t="shared" si="25"/>
        <v>17.200000000884756</v>
      </c>
      <c r="N423" s="10">
        <f t="shared" si="26"/>
        <v>35.200000000884756</v>
      </c>
      <c r="O423" s="7" t="str">
        <f>IF(ISBLANK(I423),"N/A",IF(((I423-H423)*24)&gt;INDEX(Dim_ServiceType!$E$2:$E$16,MATCH(E423,Dim_ServiceType!$A$2:$A$16,0)),"Yes","No"))</f>
        <v>No</v>
      </c>
      <c r="P423" s="7" t="str">
        <f t="shared" si="27"/>
        <v>Closed</v>
      </c>
      <c r="Q423" s="6">
        <v>3</v>
      </c>
      <c r="R423" s="7" t="s">
        <v>196</v>
      </c>
    </row>
    <row r="424" spans="1:18" x14ac:dyDescent="0.35">
      <c r="A424" s="6">
        <v>423</v>
      </c>
      <c r="B424" s="7" t="s">
        <v>620</v>
      </c>
      <c r="C424" s="6">
        <v>4</v>
      </c>
      <c r="D424" s="6">
        <v>10</v>
      </c>
      <c r="E424" s="6">
        <v>9</v>
      </c>
      <c r="F424" s="6">
        <v>9</v>
      </c>
      <c r="G424" s="9">
        <v>45883.904108796298</v>
      </c>
      <c r="H424" s="9">
        <v>45884.404108796298</v>
      </c>
      <c r="I424" s="9">
        <v>45885.312442129602</v>
      </c>
      <c r="J424" s="9">
        <v>45886.312442129602</v>
      </c>
      <c r="K424" s="7" t="s">
        <v>207</v>
      </c>
      <c r="L424" s="10">
        <f t="shared" si="24"/>
        <v>12</v>
      </c>
      <c r="M424" s="10">
        <f t="shared" si="25"/>
        <v>21.799999999289867</v>
      </c>
      <c r="N424" s="10">
        <f t="shared" si="26"/>
        <v>57.799999999289867</v>
      </c>
      <c r="O424" s="7" t="str">
        <f>IF(ISBLANK(I424),"N/A",IF(((I424-H424)*24)&gt;INDEX(Dim_ServiceType!$E$2:$E$16,MATCH(E424,Dim_ServiceType!$A$2:$A$16,0)),"Yes","No"))</f>
        <v>No</v>
      </c>
      <c r="P424" s="7" t="str">
        <f t="shared" si="27"/>
        <v>Closed</v>
      </c>
      <c r="Q424" s="6">
        <v>3</v>
      </c>
      <c r="R424" s="7" t="s">
        <v>196</v>
      </c>
    </row>
    <row r="425" spans="1:18" x14ac:dyDescent="0.35">
      <c r="A425" s="6">
        <v>424</v>
      </c>
      <c r="B425" s="7" t="s">
        <v>621</v>
      </c>
      <c r="C425" s="6">
        <v>1</v>
      </c>
      <c r="D425" s="6">
        <v>13</v>
      </c>
      <c r="E425" s="6">
        <v>4</v>
      </c>
      <c r="F425" s="6">
        <v>10</v>
      </c>
      <c r="G425" s="9">
        <v>45772.564756944397</v>
      </c>
      <c r="H425" s="9">
        <v>45773.314756944397</v>
      </c>
      <c r="I425" s="9">
        <v>45773.664756944498</v>
      </c>
      <c r="J425" s="9">
        <v>45773.914756944498</v>
      </c>
      <c r="K425" s="7" t="s">
        <v>200</v>
      </c>
      <c r="L425" s="10">
        <f t="shared" si="24"/>
        <v>18</v>
      </c>
      <c r="M425" s="10">
        <f t="shared" si="25"/>
        <v>8.4000000024097972</v>
      </c>
      <c r="N425" s="10">
        <f t="shared" si="26"/>
        <v>32.400000002409797</v>
      </c>
      <c r="O425" s="7" t="str">
        <f>IF(ISBLANK(I425),"N/A",IF(((I425-H425)*24)&gt;INDEX(Dim_ServiceType!$E$2:$E$16,MATCH(E425,Dim_ServiceType!$A$2:$A$16,0)),"Yes","No"))</f>
        <v>No</v>
      </c>
      <c r="P425" s="7" t="str">
        <f t="shared" si="27"/>
        <v>Closed</v>
      </c>
      <c r="Q425" s="6">
        <v>4</v>
      </c>
      <c r="R425" s="7" t="s">
        <v>196</v>
      </c>
    </row>
    <row r="426" spans="1:18" x14ac:dyDescent="0.35">
      <c r="A426" s="6">
        <v>425</v>
      </c>
      <c r="B426" s="7" t="s">
        <v>622</v>
      </c>
      <c r="C426" s="6">
        <v>6</v>
      </c>
      <c r="D426" s="6">
        <v>12</v>
      </c>
      <c r="E426" s="6">
        <v>11</v>
      </c>
      <c r="F426" s="6">
        <v>6</v>
      </c>
      <c r="G426" s="9">
        <v>45729.295312499999</v>
      </c>
      <c r="H426" s="9">
        <v>45729.545312499999</v>
      </c>
      <c r="I426" s="9">
        <v>45730.124479166698</v>
      </c>
      <c r="J426" s="9">
        <v>45730.374479166698</v>
      </c>
      <c r="K426" s="7" t="s">
        <v>207</v>
      </c>
      <c r="L426" s="10">
        <f t="shared" si="24"/>
        <v>6</v>
      </c>
      <c r="M426" s="10">
        <f t="shared" si="25"/>
        <v>13.900000000779983</v>
      </c>
      <c r="N426" s="10">
        <f t="shared" si="26"/>
        <v>25.900000000779983</v>
      </c>
      <c r="O426" s="7" t="str">
        <f>IF(ISBLANK(I426),"N/A",IF(((I426-H426)*24)&gt;INDEX(Dim_ServiceType!$E$2:$E$16,MATCH(E426,Dim_ServiceType!$A$2:$A$16,0)),"Yes","No"))</f>
        <v>Yes</v>
      </c>
      <c r="P426" s="7" t="str">
        <f t="shared" si="27"/>
        <v>Closed</v>
      </c>
      <c r="Q426" s="6">
        <v>2</v>
      </c>
      <c r="R426" s="7" t="s">
        <v>196</v>
      </c>
    </row>
    <row r="427" spans="1:18" x14ac:dyDescent="0.35">
      <c r="A427" s="6">
        <v>426</v>
      </c>
      <c r="B427" s="7" t="s">
        <v>623</v>
      </c>
      <c r="C427" s="6">
        <v>12</v>
      </c>
      <c r="D427" s="6">
        <v>6</v>
      </c>
      <c r="E427" s="6">
        <v>10</v>
      </c>
      <c r="F427" s="6">
        <v>8</v>
      </c>
      <c r="G427" s="9">
        <v>45755.698587963001</v>
      </c>
      <c r="H427" s="9">
        <v>45755.8652546296</v>
      </c>
      <c r="I427" s="9">
        <v>45756.1152546296</v>
      </c>
      <c r="J427" s="9">
        <v>45756.3652546296</v>
      </c>
      <c r="K427" s="7" t="s">
        <v>192</v>
      </c>
      <c r="L427" s="10">
        <f t="shared" si="24"/>
        <v>3.9999999983701855</v>
      </c>
      <c r="M427" s="10">
        <f t="shared" si="25"/>
        <v>6</v>
      </c>
      <c r="N427" s="10">
        <f t="shared" si="26"/>
        <v>15.999999998370185</v>
      </c>
      <c r="O427" s="7" t="str">
        <f>IF(ISBLANK(I427),"N/A",IF(((I427-H427)*24)&gt;INDEX(Dim_ServiceType!$E$2:$E$16,MATCH(E427,Dim_ServiceType!$A$2:$A$16,0)),"Yes","No"))</f>
        <v>No</v>
      </c>
      <c r="P427" s="7" t="str">
        <f t="shared" si="27"/>
        <v>Closed</v>
      </c>
      <c r="Q427" s="6">
        <v>5</v>
      </c>
      <c r="R427" s="7" t="s">
        <v>193</v>
      </c>
    </row>
    <row r="428" spans="1:18" x14ac:dyDescent="0.35">
      <c r="A428" s="6">
        <v>427</v>
      </c>
      <c r="B428" s="7" t="s">
        <v>624</v>
      </c>
      <c r="C428" s="6">
        <v>15</v>
      </c>
      <c r="D428" s="6">
        <v>14</v>
      </c>
      <c r="E428" s="6">
        <v>12</v>
      </c>
      <c r="F428" s="6">
        <v>13</v>
      </c>
      <c r="G428" s="9">
        <v>45787.526400463001</v>
      </c>
      <c r="H428" s="9">
        <v>45787.6930671296</v>
      </c>
      <c r="I428" s="9">
        <v>45788.338900463001</v>
      </c>
      <c r="J428" s="9">
        <v>45788.4222337963</v>
      </c>
      <c r="K428" s="7" t="s">
        <v>207</v>
      </c>
      <c r="L428" s="10">
        <f t="shared" si="24"/>
        <v>3.9999999983701855</v>
      </c>
      <c r="M428" s="10">
        <f t="shared" si="25"/>
        <v>15.500000001629815</v>
      </c>
      <c r="N428" s="10">
        <f t="shared" si="26"/>
        <v>21.499999999185093</v>
      </c>
      <c r="O428" s="7" t="str">
        <f>IF(ISBLANK(I428),"N/A",IF(((I428-H428)*24)&gt;INDEX(Dim_ServiceType!$E$2:$E$16,MATCH(E428,Dim_ServiceType!$A$2:$A$16,0)),"Yes","No"))</f>
        <v>No</v>
      </c>
      <c r="P428" s="7" t="str">
        <f t="shared" si="27"/>
        <v>Closed</v>
      </c>
      <c r="Q428" s="6">
        <v>2</v>
      </c>
      <c r="R428" s="7" t="s">
        <v>196</v>
      </c>
    </row>
    <row r="429" spans="1:18" x14ac:dyDescent="0.35">
      <c r="A429" s="6">
        <v>428</v>
      </c>
      <c r="B429" s="7" t="s">
        <v>625</v>
      </c>
      <c r="C429" s="6">
        <v>4</v>
      </c>
      <c r="D429" s="6">
        <v>3</v>
      </c>
      <c r="E429" s="6">
        <v>4</v>
      </c>
      <c r="F429" s="6">
        <v>6</v>
      </c>
      <c r="G429" s="9">
        <v>45985.315937500003</v>
      </c>
      <c r="H429" s="9">
        <v>45985.357604166697</v>
      </c>
      <c r="I429" s="9">
        <v>45988.565937500003</v>
      </c>
      <c r="J429" s="9">
        <v>45988.607604166697</v>
      </c>
      <c r="K429" s="7" t="s">
        <v>198</v>
      </c>
      <c r="L429" s="10">
        <f t="shared" si="24"/>
        <v>1.0000000006402843</v>
      </c>
      <c r="M429" s="10">
        <f t="shared" si="25"/>
        <v>76.999999999359716</v>
      </c>
      <c r="N429" s="10">
        <f t="shared" si="26"/>
        <v>79.000000000640284</v>
      </c>
      <c r="O429" s="7" t="str">
        <f>IF(ISBLANK(I429),"N/A",IF(((I429-H429)*24)&gt;INDEX(Dim_ServiceType!$E$2:$E$16,MATCH(E429,Dim_ServiceType!$A$2:$A$16,0)),"Yes","No"))</f>
        <v>Yes</v>
      </c>
      <c r="P429" s="7" t="str">
        <f t="shared" si="27"/>
        <v>Closed</v>
      </c>
      <c r="Q429" s="6">
        <v>5</v>
      </c>
      <c r="R429" s="7" t="s">
        <v>196</v>
      </c>
    </row>
    <row r="430" spans="1:18" x14ac:dyDescent="0.35">
      <c r="A430" s="6">
        <v>429</v>
      </c>
      <c r="B430" s="7" t="s">
        <v>626</v>
      </c>
      <c r="C430" s="6">
        <v>10</v>
      </c>
      <c r="D430" s="6">
        <v>3</v>
      </c>
      <c r="E430" s="6">
        <v>11</v>
      </c>
      <c r="F430" s="6">
        <v>13</v>
      </c>
      <c r="G430" s="9">
        <v>45946.3655671296</v>
      </c>
      <c r="H430" s="9">
        <v>45946.532233796301</v>
      </c>
      <c r="I430" s="9">
        <v>45947.165567129603</v>
      </c>
      <c r="J430" s="9">
        <v>45947.665567129603</v>
      </c>
      <c r="K430" s="7" t="s">
        <v>195</v>
      </c>
      <c r="L430" s="10">
        <f t="shared" si="24"/>
        <v>4.0000000008149073</v>
      </c>
      <c r="M430" s="10">
        <f t="shared" si="25"/>
        <v>15.199999999254942</v>
      </c>
      <c r="N430" s="10">
        <f t="shared" si="26"/>
        <v>31.200000000069849</v>
      </c>
      <c r="O430" s="7" t="str">
        <f>IF(ISBLANK(I430),"N/A",IF(((I430-H430)*24)&gt;INDEX(Dim_ServiceType!$E$2:$E$16,MATCH(E430,Dim_ServiceType!$A$2:$A$16,0)),"Yes","No"))</f>
        <v>Yes</v>
      </c>
      <c r="P430" s="7" t="str">
        <f t="shared" si="27"/>
        <v>Closed</v>
      </c>
      <c r="Q430" s="6">
        <v>2</v>
      </c>
      <c r="R430" s="7" t="s">
        <v>196</v>
      </c>
    </row>
    <row r="431" spans="1:18" x14ac:dyDescent="0.35">
      <c r="A431" s="6">
        <v>430</v>
      </c>
      <c r="B431" s="7" t="s">
        <v>627</v>
      </c>
      <c r="C431" s="6">
        <v>3</v>
      </c>
      <c r="D431" s="6">
        <v>14</v>
      </c>
      <c r="E431" s="6">
        <v>7</v>
      </c>
      <c r="F431" s="6">
        <v>3</v>
      </c>
      <c r="G431" s="9">
        <v>45995.741261574098</v>
      </c>
      <c r="H431" s="9"/>
      <c r="I431" s="9"/>
      <c r="J431" s="9"/>
      <c r="K431" s="7" t="s">
        <v>195</v>
      </c>
      <c r="L431" s="10" t="str">
        <f t="shared" si="24"/>
        <v/>
      </c>
      <c r="M431" s="10" t="str">
        <f t="shared" si="25"/>
        <v/>
      </c>
      <c r="N431" s="10" t="str">
        <f t="shared" si="26"/>
        <v/>
      </c>
      <c r="O431" s="7" t="str">
        <f>IF(ISBLANK(I431),"N/A",IF(((I431-H431)*24)&gt;INDEX(Dim_ServiceType!$E$2:$E$16,MATCH(E431,Dim_ServiceType!$A$2:$A$16,0)),"Yes","No"))</f>
        <v>N/A</v>
      </c>
      <c r="P431" s="7" t="str">
        <f t="shared" si="27"/>
        <v>Open (Unassigned)</v>
      </c>
      <c r="Q431" s="6"/>
      <c r="R431" s="7"/>
    </row>
    <row r="432" spans="1:18" x14ac:dyDescent="0.35">
      <c r="A432" s="6">
        <v>431</v>
      </c>
      <c r="B432" s="7" t="s">
        <v>628</v>
      </c>
      <c r="C432" s="6">
        <v>4</v>
      </c>
      <c r="D432" s="6">
        <v>13</v>
      </c>
      <c r="E432" s="6">
        <v>6</v>
      </c>
      <c r="F432" s="6">
        <v>10</v>
      </c>
      <c r="G432" s="9">
        <v>45719.186898148197</v>
      </c>
      <c r="H432" s="9">
        <v>45719.270231481503</v>
      </c>
      <c r="I432" s="9">
        <v>45721.528564814798</v>
      </c>
      <c r="J432" s="9">
        <v>45721.778564814798</v>
      </c>
      <c r="K432" s="7" t="s">
        <v>207</v>
      </c>
      <c r="L432" s="10">
        <f t="shared" si="24"/>
        <v>1.9999999993597157</v>
      </c>
      <c r="M432" s="10">
        <f t="shared" si="25"/>
        <v>54.199999999080319</v>
      </c>
      <c r="N432" s="10">
        <f t="shared" si="26"/>
        <v>62.199999998440035</v>
      </c>
      <c r="O432" s="7" t="str">
        <f>IF(ISBLANK(I432),"N/A",IF(((I432-H432)*24)&gt;INDEX(Dim_ServiceType!$E$2:$E$16,MATCH(E432,Dim_ServiceType!$A$2:$A$16,0)),"Yes","No"))</f>
        <v>Yes</v>
      </c>
      <c r="P432" s="7" t="str">
        <f t="shared" si="27"/>
        <v>Closed</v>
      </c>
      <c r="Q432" s="6">
        <v>1</v>
      </c>
      <c r="R432" s="7" t="s">
        <v>196</v>
      </c>
    </row>
    <row r="433" spans="1:18" x14ac:dyDescent="0.35">
      <c r="A433" s="6">
        <v>432</v>
      </c>
      <c r="B433" s="7" t="s">
        <v>629</v>
      </c>
      <c r="C433" s="6">
        <v>11</v>
      </c>
      <c r="D433" s="6">
        <v>6</v>
      </c>
      <c r="E433" s="6">
        <v>3</v>
      </c>
      <c r="F433" s="6">
        <v>3</v>
      </c>
      <c r="G433" s="9">
        <v>45753.043425925898</v>
      </c>
      <c r="H433" s="9">
        <v>45753.543425925898</v>
      </c>
      <c r="I433" s="9">
        <v>45753.6934259259</v>
      </c>
      <c r="J433" s="9">
        <v>45753.714259259301</v>
      </c>
      <c r="K433" s="7" t="s">
        <v>195</v>
      </c>
      <c r="L433" s="10">
        <f t="shared" si="24"/>
        <v>12</v>
      </c>
      <c r="M433" s="10">
        <f t="shared" si="25"/>
        <v>3.6000000000349246</v>
      </c>
      <c r="N433" s="10">
        <f t="shared" si="26"/>
        <v>16.100000001664739</v>
      </c>
      <c r="O433" s="7" t="str">
        <f>IF(ISBLANK(I433),"N/A",IF(((I433-H433)*24)&gt;INDEX(Dim_ServiceType!$E$2:$E$16,MATCH(E433,Dim_ServiceType!$A$2:$A$16,0)),"Yes","No"))</f>
        <v>No</v>
      </c>
      <c r="P433" s="7" t="str">
        <f t="shared" si="27"/>
        <v>Closed</v>
      </c>
      <c r="Q433" s="6">
        <v>4</v>
      </c>
      <c r="R433" s="7" t="s">
        <v>196</v>
      </c>
    </row>
    <row r="434" spans="1:18" x14ac:dyDescent="0.35">
      <c r="A434" s="6">
        <v>433</v>
      </c>
      <c r="B434" s="7" t="s">
        <v>630</v>
      </c>
      <c r="C434" s="6">
        <v>10</v>
      </c>
      <c r="D434" s="6">
        <v>2</v>
      </c>
      <c r="E434" s="6">
        <v>15</v>
      </c>
      <c r="F434" s="6">
        <v>2</v>
      </c>
      <c r="G434" s="9">
        <v>45696.278090277803</v>
      </c>
      <c r="H434" s="9">
        <v>45697.028090277803</v>
      </c>
      <c r="I434" s="9">
        <v>45698.119756944398</v>
      </c>
      <c r="J434" s="9">
        <v>45698.369756944398</v>
      </c>
      <c r="K434" s="7" t="s">
        <v>195</v>
      </c>
      <c r="L434" s="10">
        <f t="shared" si="24"/>
        <v>18</v>
      </c>
      <c r="M434" s="10">
        <f t="shared" si="25"/>
        <v>26.199999998265412</v>
      </c>
      <c r="N434" s="10">
        <f t="shared" si="26"/>
        <v>50.199999998265412</v>
      </c>
      <c r="O434" s="7" t="str">
        <f>IF(ISBLANK(I434),"N/A",IF(((I434-H434)*24)&gt;INDEX(Dim_ServiceType!$E$2:$E$16,MATCH(E434,Dim_ServiceType!$A$2:$A$16,0)),"Yes","No"))</f>
        <v>Yes</v>
      </c>
      <c r="P434" s="7" t="str">
        <f t="shared" si="27"/>
        <v>Closed</v>
      </c>
      <c r="Q434" s="6">
        <v>4</v>
      </c>
      <c r="R434" s="7" t="s">
        <v>196</v>
      </c>
    </row>
    <row r="435" spans="1:18" x14ac:dyDescent="0.35">
      <c r="A435" s="6">
        <v>434</v>
      </c>
      <c r="B435" s="7" t="s">
        <v>631</v>
      </c>
      <c r="C435" s="6">
        <v>9</v>
      </c>
      <c r="D435" s="6">
        <v>2</v>
      </c>
      <c r="E435" s="6">
        <v>2</v>
      </c>
      <c r="F435" s="6">
        <v>8</v>
      </c>
      <c r="G435" s="9">
        <v>45907.191493055601</v>
      </c>
      <c r="H435" s="9">
        <v>45907.941493055601</v>
      </c>
      <c r="I435" s="9">
        <v>45908.191493055601</v>
      </c>
      <c r="J435" s="9">
        <v>45908.274826388901</v>
      </c>
      <c r="K435" s="7" t="s">
        <v>195</v>
      </c>
      <c r="L435" s="10">
        <f t="shared" si="24"/>
        <v>18</v>
      </c>
      <c r="M435" s="10">
        <f t="shared" si="25"/>
        <v>6</v>
      </c>
      <c r="N435" s="10">
        <f t="shared" si="26"/>
        <v>25.999999999185093</v>
      </c>
      <c r="O435" s="7" t="str">
        <f>IF(ISBLANK(I435),"N/A",IF(((I435-H435)*24)&gt;INDEX(Dim_ServiceType!$E$2:$E$16,MATCH(E435,Dim_ServiceType!$A$2:$A$16,0)),"Yes","No"))</f>
        <v>No</v>
      </c>
      <c r="P435" s="7" t="str">
        <f t="shared" si="27"/>
        <v>Closed</v>
      </c>
      <c r="Q435" s="6">
        <v>5</v>
      </c>
      <c r="R435" s="7" t="s">
        <v>196</v>
      </c>
    </row>
    <row r="436" spans="1:18" x14ac:dyDescent="0.35">
      <c r="A436" s="6">
        <v>435</v>
      </c>
      <c r="B436" s="7" t="s">
        <v>632</v>
      </c>
      <c r="C436" s="6">
        <v>15</v>
      </c>
      <c r="D436" s="6">
        <v>6</v>
      </c>
      <c r="E436" s="6">
        <v>15</v>
      </c>
      <c r="F436" s="6">
        <v>3</v>
      </c>
      <c r="G436" s="9">
        <v>45960.021215277797</v>
      </c>
      <c r="H436" s="9">
        <v>45960.271215277797</v>
      </c>
      <c r="I436" s="9">
        <v>45963.842048611099</v>
      </c>
      <c r="J436" s="9">
        <v>45964.342048611099</v>
      </c>
      <c r="K436" s="7" t="s">
        <v>198</v>
      </c>
      <c r="L436" s="10">
        <f t="shared" si="24"/>
        <v>6</v>
      </c>
      <c r="M436" s="10">
        <f t="shared" si="25"/>
        <v>85.699999999254942</v>
      </c>
      <c r="N436" s="10">
        <f t="shared" si="26"/>
        <v>103.69999999925494</v>
      </c>
      <c r="O436" s="7" t="str">
        <f>IF(ISBLANK(I436),"N/A",IF(((I436-H436)*24)&gt;INDEX(Dim_ServiceType!$E$2:$E$16,MATCH(E436,Dim_ServiceType!$A$2:$A$16,0)),"Yes","No"))</f>
        <v>Yes</v>
      </c>
      <c r="P436" s="7" t="str">
        <f t="shared" si="27"/>
        <v>Closed</v>
      </c>
      <c r="Q436" s="6">
        <v>4</v>
      </c>
      <c r="R436" s="7" t="s">
        <v>196</v>
      </c>
    </row>
    <row r="437" spans="1:18" x14ac:dyDescent="0.35">
      <c r="A437" s="6">
        <v>436</v>
      </c>
      <c r="B437" s="7" t="s">
        <v>633</v>
      </c>
      <c r="C437" s="6">
        <v>9</v>
      </c>
      <c r="D437" s="6">
        <v>7</v>
      </c>
      <c r="E437" s="6">
        <v>12</v>
      </c>
      <c r="F437" s="6">
        <v>2</v>
      </c>
      <c r="G437" s="9">
        <v>45746.293425925898</v>
      </c>
      <c r="H437" s="9">
        <v>45746.314259259299</v>
      </c>
      <c r="I437" s="9">
        <v>45747.301759259302</v>
      </c>
      <c r="J437" s="9">
        <v>45748.301759259302</v>
      </c>
      <c r="K437" s="7" t="s">
        <v>198</v>
      </c>
      <c r="L437" s="10">
        <f t="shared" si="24"/>
        <v>0.50000000162981451</v>
      </c>
      <c r="M437" s="10">
        <f t="shared" si="25"/>
        <v>23.700000000069849</v>
      </c>
      <c r="N437" s="10">
        <f t="shared" si="26"/>
        <v>48.200000001699664</v>
      </c>
      <c r="O437" s="7" t="str">
        <f>IF(ISBLANK(I437),"N/A",IF(((I437-H437)*24)&gt;INDEX(Dim_ServiceType!$E$2:$E$16,MATCH(E437,Dim_ServiceType!$A$2:$A$16,0)),"Yes","No"))</f>
        <v>No</v>
      </c>
      <c r="P437" s="7" t="str">
        <f t="shared" si="27"/>
        <v>Closed</v>
      </c>
      <c r="Q437" s="6">
        <v>2</v>
      </c>
      <c r="R437" s="7" t="s">
        <v>193</v>
      </c>
    </row>
    <row r="438" spans="1:18" x14ac:dyDescent="0.35">
      <c r="A438" s="6">
        <v>437</v>
      </c>
      <c r="B438" s="7" t="s">
        <v>634</v>
      </c>
      <c r="C438" s="6">
        <v>7</v>
      </c>
      <c r="D438" s="6">
        <v>3</v>
      </c>
      <c r="E438" s="6">
        <v>14</v>
      </c>
      <c r="F438" s="6">
        <v>13</v>
      </c>
      <c r="G438" s="9">
        <v>45870.445185185199</v>
      </c>
      <c r="H438" s="9">
        <v>45870.6118518519</v>
      </c>
      <c r="I438" s="9">
        <v>45870.882685185199</v>
      </c>
      <c r="J438" s="9">
        <v>45871.132685185199</v>
      </c>
      <c r="K438" s="7" t="s">
        <v>192</v>
      </c>
      <c r="L438" s="10">
        <f t="shared" si="24"/>
        <v>4.0000000008149073</v>
      </c>
      <c r="M438" s="10">
        <f t="shared" si="25"/>
        <v>6.4999999991850927</v>
      </c>
      <c r="N438" s="10">
        <f t="shared" si="26"/>
        <v>16.5</v>
      </c>
      <c r="O438" s="7" t="str">
        <f>IF(ISBLANK(I438),"N/A",IF(((I438-H438)*24)&gt;INDEX(Dim_ServiceType!$E$2:$E$16,MATCH(E438,Dim_ServiceType!$A$2:$A$16,0)),"Yes","No"))</f>
        <v>No</v>
      </c>
      <c r="P438" s="7" t="str">
        <f t="shared" si="27"/>
        <v>Closed</v>
      </c>
      <c r="Q438" s="6">
        <v>5</v>
      </c>
      <c r="R438" s="7" t="s">
        <v>196</v>
      </c>
    </row>
    <row r="439" spans="1:18" x14ac:dyDescent="0.35">
      <c r="A439" s="6">
        <v>438</v>
      </c>
      <c r="B439" s="7" t="s">
        <v>635</v>
      </c>
      <c r="C439" s="6">
        <v>13</v>
      </c>
      <c r="D439" s="6">
        <v>12</v>
      </c>
      <c r="E439" s="6">
        <v>9</v>
      </c>
      <c r="F439" s="6">
        <v>14</v>
      </c>
      <c r="G439" s="9">
        <v>45711.195208333302</v>
      </c>
      <c r="H439" s="9">
        <v>45711.361875000002</v>
      </c>
      <c r="I439" s="9"/>
      <c r="J439" s="9"/>
      <c r="K439" s="7" t="s">
        <v>198</v>
      </c>
      <c r="L439" s="10">
        <f t="shared" si="24"/>
        <v>4.0000000008149073</v>
      </c>
      <c r="M439" s="10" t="str">
        <f t="shared" si="25"/>
        <v/>
      </c>
      <c r="N439" s="10" t="str">
        <f t="shared" si="26"/>
        <v/>
      </c>
      <c r="O439" s="7" t="str">
        <f>IF(ISBLANK(I439),"N/A",IF(((I439-H439)*24)&gt;INDEX(Dim_ServiceType!$E$2:$E$16,MATCH(E439,Dim_ServiceType!$A$2:$A$16,0)),"Yes","No"))</f>
        <v>N/A</v>
      </c>
      <c r="P439" s="7" t="str">
        <f t="shared" si="27"/>
        <v>In Progress</v>
      </c>
      <c r="Q439" s="6"/>
      <c r="R439" s="7"/>
    </row>
    <row r="440" spans="1:18" x14ac:dyDescent="0.35">
      <c r="A440" s="6">
        <v>439</v>
      </c>
      <c r="B440" s="7" t="s">
        <v>636</v>
      </c>
      <c r="C440" s="6">
        <v>4</v>
      </c>
      <c r="D440" s="6">
        <v>2</v>
      </c>
      <c r="E440" s="6">
        <v>1</v>
      </c>
      <c r="F440" s="6">
        <v>5</v>
      </c>
      <c r="G440" s="9">
        <v>45971.1555324074</v>
      </c>
      <c r="H440" s="9">
        <v>45971.4055324074</v>
      </c>
      <c r="I440" s="9">
        <v>45971.568032407398</v>
      </c>
      <c r="J440" s="9">
        <v>45971.651365740698</v>
      </c>
      <c r="K440" s="7" t="s">
        <v>200</v>
      </c>
      <c r="L440" s="10">
        <f t="shared" si="24"/>
        <v>6</v>
      </c>
      <c r="M440" s="10">
        <f t="shared" si="25"/>
        <v>3.8999999999650754</v>
      </c>
      <c r="N440" s="10">
        <f t="shared" si="26"/>
        <v>11.899999999150168</v>
      </c>
      <c r="O440" s="7" t="str">
        <f>IF(ISBLANK(I440),"N/A",IF(((I440-H440)*24)&gt;INDEX(Dim_ServiceType!$E$2:$E$16,MATCH(E440,Dim_ServiceType!$A$2:$A$16,0)),"Yes","No"))</f>
        <v>No</v>
      </c>
      <c r="P440" s="7" t="str">
        <f t="shared" si="27"/>
        <v>Closed</v>
      </c>
      <c r="Q440" s="6">
        <v>5</v>
      </c>
      <c r="R440" s="7" t="s">
        <v>196</v>
      </c>
    </row>
    <row r="441" spans="1:18" x14ac:dyDescent="0.35">
      <c r="A441" s="6">
        <v>440</v>
      </c>
      <c r="B441" s="7" t="s">
        <v>637</v>
      </c>
      <c r="C441" s="6">
        <v>11</v>
      </c>
      <c r="D441" s="6">
        <v>10</v>
      </c>
      <c r="E441" s="6">
        <v>11</v>
      </c>
      <c r="F441" s="6">
        <v>8</v>
      </c>
      <c r="G441" s="9">
        <v>45679.002175925903</v>
      </c>
      <c r="H441" s="9">
        <v>45679.043842592597</v>
      </c>
      <c r="I441" s="9">
        <v>45679.452175925901</v>
      </c>
      <c r="J441" s="9">
        <v>45679.702175925901</v>
      </c>
      <c r="K441" s="7" t="s">
        <v>198</v>
      </c>
      <c r="L441" s="10">
        <f t="shared" si="24"/>
        <v>1.0000000006402843</v>
      </c>
      <c r="M441" s="10">
        <f t="shared" si="25"/>
        <v>9.7999999992898665</v>
      </c>
      <c r="N441" s="10">
        <f t="shared" si="26"/>
        <v>16.799999999930151</v>
      </c>
      <c r="O441" s="7" t="str">
        <f>IF(ISBLANK(I441),"N/A",IF(((I441-H441)*24)&gt;INDEX(Dim_ServiceType!$E$2:$E$16,MATCH(E441,Dim_ServiceType!$A$2:$A$16,0)),"Yes","No"))</f>
        <v>No</v>
      </c>
      <c r="P441" s="7" t="str">
        <f t="shared" si="27"/>
        <v>Closed</v>
      </c>
      <c r="Q441" s="6">
        <v>5</v>
      </c>
      <c r="R441" s="7" t="s">
        <v>196</v>
      </c>
    </row>
    <row r="442" spans="1:18" x14ac:dyDescent="0.35">
      <c r="A442" s="6">
        <v>441</v>
      </c>
      <c r="B442" s="7" t="s">
        <v>638</v>
      </c>
      <c r="C442" s="6">
        <v>10</v>
      </c>
      <c r="D442" s="6">
        <v>12</v>
      </c>
      <c r="E442" s="6">
        <v>8</v>
      </c>
      <c r="F442" s="6">
        <v>11</v>
      </c>
      <c r="G442" s="9">
        <v>45672.438321759299</v>
      </c>
      <c r="H442" s="9">
        <v>45672.771655092598</v>
      </c>
      <c r="I442" s="9">
        <v>45672.979988425897</v>
      </c>
      <c r="J442" s="9">
        <v>45673.063321759299</v>
      </c>
      <c r="K442" s="7" t="s">
        <v>198</v>
      </c>
      <c r="L442" s="10">
        <f t="shared" si="24"/>
        <v>7.9999999991850927</v>
      </c>
      <c r="M442" s="10">
        <f t="shared" si="25"/>
        <v>4.9999999991850927</v>
      </c>
      <c r="N442" s="10">
        <f t="shared" si="26"/>
        <v>15</v>
      </c>
      <c r="O442" s="7" t="str">
        <f>IF(ISBLANK(I442),"N/A",IF(((I442-H442)*24)&gt;INDEX(Dim_ServiceType!$E$2:$E$16,MATCH(E442,Dim_ServiceType!$A$2:$A$16,0)),"Yes","No"))</f>
        <v>No</v>
      </c>
      <c r="P442" s="7" t="str">
        <f t="shared" si="27"/>
        <v>Closed</v>
      </c>
      <c r="Q442" s="6">
        <v>2</v>
      </c>
      <c r="R442" s="7" t="s">
        <v>196</v>
      </c>
    </row>
    <row r="443" spans="1:18" x14ac:dyDescent="0.35">
      <c r="A443" s="6">
        <v>442</v>
      </c>
      <c r="B443" s="7" t="s">
        <v>639</v>
      </c>
      <c r="C443" s="6">
        <v>8</v>
      </c>
      <c r="D443" s="6">
        <v>5</v>
      </c>
      <c r="E443" s="6">
        <v>9</v>
      </c>
      <c r="F443" s="6">
        <v>3</v>
      </c>
      <c r="G443" s="9">
        <v>45993.669363425899</v>
      </c>
      <c r="H443" s="9"/>
      <c r="I443" s="9"/>
      <c r="J443" s="9"/>
      <c r="K443" s="7" t="s">
        <v>198</v>
      </c>
      <c r="L443" s="10" t="str">
        <f t="shared" si="24"/>
        <v/>
      </c>
      <c r="M443" s="10" t="str">
        <f t="shared" si="25"/>
        <v/>
      </c>
      <c r="N443" s="10" t="str">
        <f t="shared" si="26"/>
        <v/>
      </c>
      <c r="O443" s="7" t="str">
        <f>IF(ISBLANK(I443),"N/A",IF(((I443-H443)*24)&gt;INDEX(Dim_ServiceType!$E$2:$E$16,MATCH(E443,Dim_ServiceType!$A$2:$A$16,0)),"Yes","No"))</f>
        <v>N/A</v>
      </c>
      <c r="P443" s="7" t="str">
        <f t="shared" si="27"/>
        <v>Open (Unassigned)</v>
      </c>
      <c r="Q443" s="6"/>
      <c r="R443" s="7"/>
    </row>
    <row r="444" spans="1:18" x14ac:dyDescent="0.35">
      <c r="A444" s="6">
        <v>443</v>
      </c>
      <c r="B444" s="7" t="s">
        <v>640</v>
      </c>
      <c r="C444" s="6">
        <v>1</v>
      </c>
      <c r="D444" s="6">
        <v>5</v>
      </c>
      <c r="E444" s="6">
        <v>12</v>
      </c>
      <c r="F444" s="6">
        <v>11</v>
      </c>
      <c r="G444" s="9">
        <v>45682.230370370402</v>
      </c>
      <c r="H444" s="9">
        <v>45682.480370370402</v>
      </c>
      <c r="I444" s="9">
        <v>45683.180370370399</v>
      </c>
      <c r="J444" s="9">
        <v>45683.201203703698</v>
      </c>
      <c r="K444" s="7" t="s">
        <v>195</v>
      </c>
      <c r="L444" s="10">
        <f t="shared" si="24"/>
        <v>6</v>
      </c>
      <c r="M444" s="10">
        <f t="shared" si="25"/>
        <v>16.799999999930151</v>
      </c>
      <c r="N444" s="10">
        <f t="shared" si="26"/>
        <v>23.299999999115244</v>
      </c>
      <c r="O444" s="7" t="str">
        <f>IF(ISBLANK(I444),"N/A",IF(((I444-H444)*24)&gt;INDEX(Dim_ServiceType!$E$2:$E$16,MATCH(E444,Dim_ServiceType!$A$2:$A$16,0)),"Yes","No"))</f>
        <v>No</v>
      </c>
      <c r="P444" s="7" t="str">
        <f t="shared" si="27"/>
        <v>Closed</v>
      </c>
      <c r="Q444" s="6">
        <v>4</v>
      </c>
      <c r="R444" s="7" t="s">
        <v>196</v>
      </c>
    </row>
    <row r="445" spans="1:18" x14ac:dyDescent="0.35">
      <c r="A445" s="6">
        <v>444</v>
      </c>
      <c r="B445" s="7" t="s">
        <v>641</v>
      </c>
      <c r="C445" s="6">
        <v>7</v>
      </c>
      <c r="D445" s="6">
        <v>8</v>
      </c>
      <c r="E445" s="6">
        <v>3</v>
      </c>
      <c r="F445" s="6">
        <v>1</v>
      </c>
      <c r="G445" s="9">
        <v>45942.873912037001</v>
      </c>
      <c r="H445" s="9">
        <v>45943.623912037001</v>
      </c>
      <c r="I445" s="9">
        <v>45943.844745370399</v>
      </c>
      <c r="J445" s="9">
        <v>45944.011412036998</v>
      </c>
      <c r="K445" s="7" t="s">
        <v>198</v>
      </c>
      <c r="L445" s="10">
        <f t="shared" si="24"/>
        <v>18</v>
      </c>
      <c r="M445" s="10">
        <f t="shared" si="25"/>
        <v>5.3000000015599653</v>
      </c>
      <c r="N445" s="10">
        <f t="shared" si="26"/>
        <v>27.299999999930151</v>
      </c>
      <c r="O445" s="7" t="str">
        <f>IF(ISBLANK(I445),"N/A",IF(((I445-H445)*24)&gt;INDEX(Dim_ServiceType!$E$2:$E$16,MATCH(E445,Dim_ServiceType!$A$2:$A$16,0)),"Yes","No"))</f>
        <v>No</v>
      </c>
      <c r="P445" s="7" t="str">
        <f t="shared" si="27"/>
        <v>Closed</v>
      </c>
      <c r="Q445" s="6">
        <v>4</v>
      </c>
      <c r="R445" s="7" t="s">
        <v>196</v>
      </c>
    </row>
    <row r="446" spans="1:18" x14ac:dyDescent="0.35">
      <c r="A446" s="6">
        <v>445</v>
      </c>
      <c r="B446" s="7" t="s">
        <v>642</v>
      </c>
      <c r="C446" s="6">
        <v>9</v>
      </c>
      <c r="D446" s="6">
        <v>1</v>
      </c>
      <c r="E446" s="6">
        <v>4</v>
      </c>
      <c r="F446" s="6">
        <v>15</v>
      </c>
      <c r="G446" s="9">
        <v>45760.266643518502</v>
      </c>
      <c r="H446" s="9">
        <v>45761.266643518502</v>
      </c>
      <c r="I446" s="9">
        <v>45762.012476851902</v>
      </c>
      <c r="J446" s="9">
        <v>45762.512476851902</v>
      </c>
      <c r="K446" s="7" t="s">
        <v>198</v>
      </c>
      <c r="L446" s="10">
        <f t="shared" si="24"/>
        <v>24</v>
      </c>
      <c r="M446" s="10">
        <f t="shared" si="25"/>
        <v>17.90000000159489</v>
      </c>
      <c r="N446" s="10">
        <f t="shared" si="26"/>
        <v>53.90000000159489</v>
      </c>
      <c r="O446" s="7" t="str">
        <f>IF(ISBLANK(I446),"N/A",IF(((I446-H446)*24)&gt;INDEX(Dim_ServiceType!$E$2:$E$16,MATCH(E446,Dim_ServiceType!$A$2:$A$16,0)),"Yes","No"))</f>
        <v>No</v>
      </c>
      <c r="P446" s="7" t="str">
        <f t="shared" si="27"/>
        <v>Closed</v>
      </c>
      <c r="Q446" s="6">
        <v>2</v>
      </c>
      <c r="R446" s="7" t="s">
        <v>196</v>
      </c>
    </row>
    <row r="447" spans="1:18" x14ac:dyDescent="0.35">
      <c r="A447" s="6">
        <v>446</v>
      </c>
      <c r="B447" s="7" t="s">
        <v>643</v>
      </c>
      <c r="C447" s="6">
        <v>13</v>
      </c>
      <c r="D447" s="6">
        <v>1</v>
      </c>
      <c r="E447" s="6">
        <v>14</v>
      </c>
      <c r="F447" s="6">
        <v>8</v>
      </c>
      <c r="G447" s="9">
        <v>46005.903518518498</v>
      </c>
      <c r="H447" s="9"/>
      <c r="I447" s="9"/>
      <c r="J447" s="9"/>
      <c r="K447" s="7" t="s">
        <v>200</v>
      </c>
      <c r="L447" s="10" t="str">
        <f t="shared" si="24"/>
        <v/>
      </c>
      <c r="M447" s="10" t="str">
        <f t="shared" si="25"/>
        <v/>
      </c>
      <c r="N447" s="10" t="str">
        <f t="shared" si="26"/>
        <v/>
      </c>
      <c r="O447" s="7" t="str">
        <f>IF(ISBLANK(I447),"N/A",IF(((I447-H447)*24)&gt;INDEX(Dim_ServiceType!$E$2:$E$16,MATCH(E447,Dim_ServiceType!$A$2:$A$16,0)),"Yes","No"))</f>
        <v>N/A</v>
      </c>
      <c r="P447" s="7" t="str">
        <f t="shared" si="27"/>
        <v>Open (Unassigned)</v>
      </c>
      <c r="Q447" s="6"/>
      <c r="R447" s="7"/>
    </row>
    <row r="448" spans="1:18" x14ac:dyDescent="0.35">
      <c r="A448" s="6">
        <v>447</v>
      </c>
      <c r="B448" s="7" t="s">
        <v>644</v>
      </c>
      <c r="C448" s="6">
        <v>1</v>
      </c>
      <c r="D448" s="6">
        <v>15</v>
      </c>
      <c r="E448" s="6">
        <v>4</v>
      </c>
      <c r="F448" s="6">
        <v>11</v>
      </c>
      <c r="G448" s="9">
        <v>45967.010763888902</v>
      </c>
      <c r="H448" s="9">
        <v>45967.177430555603</v>
      </c>
      <c r="I448" s="9">
        <v>45971.835763888899</v>
      </c>
      <c r="J448" s="9">
        <v>45971.919097222199</v>
      </c>
      <c r="K448" s="7" t="s">
        <v>207</v>
      </c>
      <c r="L448" s="10">
        <f t="shared" si="24"/>
        <v>4.0000000008149073</v>
      </c>
      <c r="M448" s="10">
        <f t="shared" si="25"/>
        <v>111.79999999911524</v>
      </c>
      <c r="N448" s="10">
        <f t="shared" si="26"/>
        <v>117.79999999911524</v>
      </c>
      <c r="O448" s="7" t="str">
        <f>IF(ISBLANK(I448),"N/A",IF(((I448-H448)*24)&gt;INDEX(Dim_ServiceType!$E$2:$E$16,MATCH(E448,Dim_ServiceType!$A$2:$A$16,0)),"Yes","No"))</f>
        <v>Yes</v>
      </c>
      <c r="P448" s="7" t="str">
        <f t="shared" si="27"/>
        <v>Closed</v>
      </c>
      <c r="Q448" s="6">
        <v>4</v>
      </c>
      <c r="R448" s="7" t="s">
        <v>196</v>
      </c>
    </row>
    <row r="449" spans="1:18" x14ac:dyDescent="0.35">
      <c r="A449" s="6">
        <v>448</v>
      </c>
      <c r="B449" s="7" t="s">
        <v>645</v>
      </c>
      <c r="C449" s="6">
        <v>3</v>
      </c>
      <c r="D449" s="6">
        <v>4</v>
      </c>
      <c r="E449" s="6">
        <v>8</v>
      </c>
      <c r="F449" s="6">
        <v>2</v>
      </c>
      <c r="G449" s="9">
        <v>45827.707129629598</v>
      </c>
      <c r="H449" s="9">
        <v>45827.832129629598</v>
      </c>
      <c r="I449" s="9">
        <v>45827.923796296302</v>
      </c>
      <c r="J449" s="9">
        <v>45827.944629629601</v>
      </c>
      <c r="K449" s="7" t="s">
        <v>207</v>
      </c>
      <c r="L449" s="10">
        <f t="shared" si="24"/>
        <v>3</v>
      </c>
      <c r="M449" s="10">
        <f t="shared" si="25"/>
        <v>2.2000000008847564</v>
      </c>
      <c r="N449" s="10">
        <f t="shared" si="26"/>
        <v>5.7000000000698492</v>
      </c>
      <c r="O449" s="7" t="str">
        <f>IF(ISBLANK(I449),"N/A",IF(((I449-H449)*24)&gt;INDEX(Dim_ServiceType!$E$2:$E$16,MATCH(E449,Dim_ServiceType!$A$2:$A$16,0)),"Yes","No"))</f>
        <v>No</v>
      </c>
      <c r="P449" s="7" t="str">
        <f t="shared" si="27"/>
        <v>Closed</v>
      </c>
      <c r="Q449" s="6">
        <v>5</v>
      </c>
      <c r="R449" s="7" t="s">
        <v>196</v>
      </c>
    </row>
    <row r="450" spans="1:18" x14ac:dyDescent="0.35">
      <c r="A450" s="6">
        <v>449</v>
      </c>
      <c r="B450" s="7" t="s">
        <v>646</v>
      </c>
      <c r="C450" s="6">
        <v>8</v>
      </c>
      <c r="D450" s="6">
        <v>3</v>
      </c>
      <c r="E450" s="6">
        <v>10</v>
      </c>
      <c r="F450" s="6">
        <v>7</v>
      </c>
      <c r="G450" s="9">
        <v>45696.100358796299</v>
      </c>
      <c r="H450" s="9">
        <v>45697.100358796299</v>
      </c>
      <c r="I450" s="9">
        <v>45697.233692129601</v>
      </c>
      <c r="J450" s="9">
        <v>45697.733692129601</v>
      </c>
      <c r="K450" s="7" t="s">
        <v>198</v>
      </c>
      <c r="L450" s="10">
        <f t="shared" ref="L450:L513" si="28">IF(ISBLANK(H450),"",(H450-G450)*24)</f>
        <v>24</v>
      </c>
      <c r="M450" s="10">
        <f t="shared" ref="M450:M513" si="29">IF(ISBLANK(I450),"",(I450-H450)*24)</f>
        <v>3.1999999992549419</v>
      </c>
      <c r="N450" s="10">
        <f t="shared" ref="N450:N513" si="30">IF(ISBLANK(J450),"",(J450-G450)*24)</f>
        <v>39.199999999254942</v>
      </c>
      <c r="O450" s="7" t="str">
        <f>IF(ISBLANK(I450),"N/A",IF(((I450-H450)*24)&gt;INDEX(Dim_ServiceType!$E$2:$E$16,MATCH(E450,Dim_ServiceType!$A$2:$A$16,0)),"Yes","No"))</f>
        <v>No</v>
      </c>
      <c r="P450" s="7" t="str">
        <f t="shared" ref="P450:P513" si="31">IF(ISBLANK(H450),"Open (Unassigned)",IF(ISBLANK(I450),"In Progress",IF(ISBLANK(J450),"Resolved (Pending Closure)","Closed")))</f>
        <v>Closed</v>
      </c>
      <c r="Q450" s="6">
        <v>5</v>
      </c>
      <c r="R450" s="7" t="s">
        <v>196</v>
      </c>
    </row>
    <row r="451" spans="1:18" x14ac:dyDescent="0.35">
      <c r="A451" s="6">
        <v>450</v>
      </c>
      <c r="B451" s="7" t="s">
        <v>647</v>
      </c>
      <c r="C451" s="6">
        <v>3</v>
      </c>
      <c r="D451" s="6">
        <v>15</v>
      </c>
      <c r="E451" s="6">
        <v>11</v>
      </c>
      <c r="F451" s="6">
        <v>7</v>
      </c>
      <c r="G451" s="9">
        <v>45776.556828703702</v>
      </c>
      <c r="H451" s="9">
        <v>45776.577662037002</v>
      </c>
      <c r="I451" s="9">
        <v>45776.740162037</v>
      </c>
      <c r="J451" s="9">
        <v>45777.240162037</v>
      </c>
      <c r="K451" s="7" t="s">
        <v>207</v>
      </c>
      <c r="L451" s="10">
        <f t="shared" si="28"/>
        <v>0.49999999918509275</v>
      </c>
      <c r="M451" s="10">
        <f t="shared" si="29"/>
        <v>3.8999999999650754</v>
      </c>
      <c r="N451" s="10">
        <f t="shared" si="30"/>
        <v>16.399999999150168</v>
      </c>
      <c r="O451" s="7" t="str">
        <f>IF(ISBLANK(I451),"N/A",IF(((I451-H451)*24)&gt;INDEX(Dim_ServiceType!$E$2:$E$16,MATCH(E451,Dim_ServiceType!$A$2:$A$16,0)),"Yes","No"))</f>
        <v>No</v>
      </c>
      <c r="P451" s="7" t="str">
        <f t="shared" si="31"/>
        <v>Closed</v>
      </c>
      <c r="Q451" s="6">
        <v>4</v>
      </c>
      <c r="R451" s="7" t="s">
        <v>196</v>
      </c>
    </row>
    <row r="452" spans="1:18" x14ac:dyDescent="0.35">
      <c r="A452" s="6">
        <v>451</v>
      </c>
      <c r="B452" s="7" t="s">
        <v>648</v>
      </c>
      <c r="C452" s="6">
        <v>2</v>
      </c>
      <c r="D452" s="6">
        <v>5</v>
      </c>
      <c r="E452" s="6">
        <v>7</v>
      </c>
      <c r="F452" s="6">
        <v>8</v>
      </c>
      <c r="G452" s="9">
        <v>45685.290486111102</v>
      </c>
      <c r="H452" s="9">
        <v>45685.623819444401</v>
      </c>
      <c r="I452" s="9">
        <v>45686.665486111102</v>
      </c>
      <c r="J452" s="9">
        <v>45686.686319444401</v>
      </c>
      <c r="K452" s="7" t="s">
        <v>195</v>
      </c>
      <c r="L452" s="10">
        <f t="shared" si="28"/>
        <v>7.9999999991850927</v>
      </c>
      <c r="M452" s="10">
        <f t="shared" si="29"/>
        <v>25.000000000814907</v>
      </c>
      <c r="N452" s="10">
        <f t="shared" si="30"/>
        <v>33.499999999185093</v>
      </c>
      <c r="O452" s="7" t="str">
        <f>IF(ISBLANK(I452),"N/A",IF(((I452-H452)*24)&gt;INDEX(Dim_ServiceType!$E$2:$E$16,MATCH(E452,Dim_ServiceType!$A$2:$A$16,0)),"Yes","No"))</f>
        <v>Yes</v>
      </c>
      <c r="P452" s="7" t="str">
        <f t="shared" si="31"/>
        <v>Closed</v>
      </c>
      <c r="Q452" s="6">
        <v>1</v>
      </c>
      <c r="R452" s="7" t="s">
        <v>196</v>
      </c>
    </row>
    <row r="453" spans="1:18" x14ac:dyDescent="0.35">
      <c r="A453" s="6">
        <v>452</v>
      </c>
      <c r="B453" s="7" t="s">
        <v>649</v>
      </c>
      <c r="C453" s="6">
        <v>11</v>
      </c>
      <c r="D453" s="6">
        <v>11</v>
      </c>
      <c r="E453" s="6">
        <v>11</v>
      </c>
      <c r="F453" s="6">
        <v>11</v>
      </c>
      <c r="G453" s="9">
        <v>45926.588472222204</v>
      </c>
      <c r="H453" s="9">
        <v>45926.921805555598</v>
      </c>
      <c r="I453" s="9">
        <v>45927.538472222201</v>
      </c>
      <c r="J453" s="9">
        <v>45927.559305555602</v>
      </c>
      <c r="K453" s="7" t="s">
        <v>207</v>
      </c>
      <c r="L453" s="10">
        <f t="shared" si="28"/>
        <v>8.0000000014551915</v>
      </c>
      <c r="M453" s="10">
        <f t="shared" si="29"/>
        <v>14.799999998474959</v>
      </c>
      <c r="N453" s="10">
        <f t="shared" si="30"/>
        <v>23.300000001559965</v>
      </c>
      <c r="O453" s="7" t="str">
        <f>IF(ISBLANK(I453),"N/A",IF(((I453-H453)*24)&gt;INDEX(Dim_ServiceType!$E$2:$E$16,MATCH(E453,Dim_ServiceType!$A$2:$A$16,0)),"Yes","No"))</f>
        <v>Yes</v>
      </c>
      <c r="P453" s="7" t="str">
        <f t="shared" si="31"/>
        <v>Closed</v>
      </c>
      <c r="Q453" s="6">
        <v>5</v>
      </c>
      <c r="R453" s="7" t="s">
        <v>196</v>
      </c>
    </row>
    <row r="454" spans="1:18" x14ac:dyDescent="0.35">
      <c r="A454" s="6">
        <v>453</v>
      </c>
      <c r="B454" s="7" t="s">
        <v>650</v>
      </c>
      <c r="C454" s="6">
        <v>7</v>
      </c>
      <c r="D454" s="6">
        <v>14</v>
      </c>
      <c r="E454" s="6">
        <v>1</v>
      </c>
      <c r="F454" s="6">
        <v>9</v>
      </c>
      <c r="G454" s="9">
        <v>45704.8507523148</v>
      </c>
      <c r="H454" s="9">
        <v>45704.871585648201</v>
      </c>
      <c r="I454" s="9">
        <v>45705.075752314799</v>
      </c>
      <c r="J454" s="9">
        <v>45705.575752314799</v>
      </c>
      <c r="K454" s="7" t="s">
        <v>198</v>
      </c>
      <c r="L454" s="10">
        <f t="shared" si="28"/>
        <v>0.50000000162981451</v>
      </c>
      <c r="M454" s="10">
        <f t="shared" si="29"/>
        <v>4.8999999983352609</v>
      </c>
      <c r="N454" s="10">
        <f t="shared" si="30"/>
        <v>17.399999999965075</v>
      </c>
      <c r="O454" s="7" t="str">
        <f>IF(ISBLANK(I454),"N/A",IF(((I454-H454)*24)&gt;INDEX(Dim_ServiceType!$E$2:$E$16,MATCH(E454,Dim_ServiceType!$A$2:$A$16,0)),"Yes","No"))</f>
        <v>Yes</v>
      </c>
      <c r="P454" s="7" t="str">
        <f t="shared" si="31"/>
        <v>Closed</v>
      </c>
      <c r="Q454" s="6">
        <v>4</v>
      </c>
      <c r="R454" s="7" t="s">
        <v>196</v>
      </c>
    </row>
    <row r="455" spans="1:18" x14ac:dyDescent="0.35">
      <c r="A455" s="6">
        <v>454</v>
      </c>
      <c r="B455" s="7" t="s">
        <v>651</v>
      </c>
      <c r="C455" s="6">
        <v>10</v>
      </c>
      <c r="D455" s="6">
        <v>11</v>
      </c>
      <c r="E455" s="6">
        <v>10</v>
      </c>
      <c r="F455" s="6">
        <v>15</v>
      </c>
      <c r="G455" s="9">
        <v>45999.965439814798</v>
      </c>
      <c r="H455" s="9">
        <v>46000.965439814798</v>
      </c>
      <c r="I455" s="9">
        <v>46001.2612731482</v>
      </c>
      <c r="J455" s="9">
        <v>46001.302939814799</v>
      </c>
      <c r="K455" s="7" t="s">
        <v>192</v>
      </c>
      <c r="L455" s="10">
        <f t="shared" si="28"/>
        <v>24</v>
      </c>
      <c r="M455" s="10">
        <f t="shared" si="29"/>
        <v>7.1000000016647391</v>
      </c>
      <c r="N455" s="10">
        <f t="shared" si="30"/>
        <v>32.100000000034925</v>
      </c>
      <c r="O455" s="7" t="str">
        <f>IF(ISBLANK(I455),"N/A",IF(((I455-H455)*24)&gt;INDEX(Dim_ServiceType!$E$2:$E$16,MATCH(E455,Dim_ServiceType!$A$2:$A$16,0)),"Yes","No"))</f>
        <v>Yes</v>
      </c>
      <c r="P455" s="7" t="str">
        <f t="shared" si="31"/>
        <v>Closed</v>
      </c>
      <c r="Q455" s="6">
        <v>2</v>
      </c>
      <c r="R455" s="7" t="s">
        <v>196</v>
      </c>
    </row>
    <row r="456" spans="1:18" x14ac:dyDescent="0.35">
      <c r="A456" s="6">
        <v>455</v>
      </c>
      <c r="B456" s="7" t="s">
        <v>652</v>
      </c>
      <c r="C456" s="6">
        <v>15</v>
      </c>
      <c r="D456" s="6">
        <v>5</v>
      </c>
      <c r="E456" s="6">
        <v>13</v>
      </c>
      <c r="F456" s="6">
        <v>2</v>
      </c>
      <c r="G456" s="9">
        <v>45760.184120370403</v>
      </c>
      <c r="H456" s="9">
        <v>45760.434120370403</v>
      </c>
      <c r="I456" s="9">
        <v>45761.409120370401</v>
      </c>
      <c r="J456" s="9">
        <v>45761.575787037</v>
      </c>
      <c r="K456" s="7" t="s">
        <v>195</v>
      </c>
      <c r="L456" s="10">
        <f t="shared" si="28"/>
        <v>6</v>
      </c>
      <c r="M456" s="10">
        <f t="shared" si="29"/>
        <v>23.399999999965075</v>
      </c>
      <c r="N456" s="10">
        <f t="shared" si="30"/>
        <v>33.399999998335261</v>
      </c>
      <c r="O456" s="7" t="str">
        <f>IF(ISBLANK(I456),"N/A",IF(((I456-H456)*24)&gt;INDEX(Dim_ServiceType!$E$2:$E$16,MATCH(E456,Dim_ServiceType!$A$2:$A$16,0)),"Yes","No"))</f>
        <v>No</v>
      </c>
      <c r="P456" s="7" t="str">
        <f t="shared" si="31"/>
        <v>Closed</v>
      </c>
      <c r="Q456" s="6">
        <v>5</v>
      </c>
      <c r="R456" s="7" t="s">
        <v>196</v>
      </c>
    </row>
    <row r="457" spans="1:18" x14ac:dyDescent="0.35">
      <c r="A457" s="6">
        <v>456</v>
      </c>
      <c r="B457" s="7" t="s">
        <v>653</v>
      </c>
      <c r="C457" s="6">
        <v>8</v>
      </c>
      <c r="D457" s="6">
        <v>5</v>
      </c>
      <c r="E457" s="6">
        <v>9</v>
      </c>
      <c r="F457" s="6">
        <v>4</v>
      </c>
      <c r="G457" s="9">
        <v>45800.719884259299</v>
      </c>
      <c r="H457" s="9">
        <v>45801.469884259299</v>
      </c>
      <c r="I457" s="9">
        <v>45804.419884259303</v>
      </c>
      <c r="J457" s="9">
        <v>45804.919884259303</v>
      </c>
      <c r="K457" s="7" t="s">
        <v>192</v>
      </c>
      <c r="L457" s="10">
        <f t="shared" si="28"/>
        <v>18</v>
      </c>
      <c r="M457" s="10">
        <f t="shared" si="29"/>
        <v>70.800000000104774</v>
      </c>
      <c r="N457" s="10">
        <f t="shared" si="30"/>
        <v>100.80000000010477</v>
      </c>
      <c r="O457" s="7" t="str">
        <f>IF(ISBLANK(I457),"N/A",IF(((I457-H457)*24)&gt;INDEX(Dim_ServiceType!$E$2:$E$16,MATCH(E457,Dim_ServiceType!$A$2:$A$16,0)),"Yes","No"))</f>
        <v>No</v>
      </c>
      <c r="P457" s="7" t="str">
        <f t="shared" si="31"/>
        <v>Closed</v>
      </c>
      <c r="Q457" s="6">
        <v>1</v>
      </c>
      <c r="R457" s="7" t="s">
        <v>196</v>
      </c>
    </row>
    <row r="458" spans="1:18" x14ac:dyDescent="0.35">
      <c r="A458" s="6">
        <v>457</v>
      </c>
      <c r="B458" s="7" t="s">
        <v>654</v>
      </c>
      <c r="C458" s="6">
        <v>15</v>
      </c>
      <c r="D458" s="6">
        <v>12</v>
      </c>
      <c r="E458" s="6">
        <v>2</v>
      </c>
      <c r="F458" s="6">
        <v>15</v>
      </c>
      <c r="G458" s="9">
        <v>45911.628113425897</v>
      </c>
      <c r="H458" s="9">
        <v>45911.648946759298</v>
      </c>
      <c r="I458" s="9">
        <v>45911.790613425903</v>
      </c>
      <c r="J458" s="9">
        <v>45911.832280092603</v>
      </c>
      <c r="K458" s="7" t="s">
        <v>198</v>
      </c>
      <c r="L458" s="10">
        <f t="shared" si="28"/>
        <v>0.50000000162981451</v>
      </c>
      <c r="M458" s="10">
        <f t="shared" si="29"/>
        <v>3.3999999985098839</v>
      </c>
      <c r="N458" s="10">
        <f t="shared" si="30"/>
        <v>4.9000000009546056</v>
      </c>
      <c r="O458" s="7" t="str">
        <f>IF(ISBLANK(I458),"N/A",IF(((I458-H458)*24)&gt;INDEX(Dim_ServiceType!$E$2:$E$16,MATCH(E458,Dim_ServiceType!$A$2:$A$16,0)),"Yes","No"))</f>
        <v>No</v>
      </c>
      <c r="P458" s="7" t="str">
        <f t="shared" si="31"/>
        <v>Closed</v>
      </c>
      <c r="Q458" s="6">
        <v>3</v>
      </c>
      <c r="R458" s="7" t="s">
        <v>196</v>
      </c>
    </row>
    <row r="459" spans="1:18" x14ac:dyDescent="0.35">
      <c r="A459" s="6">
        <v>458</v>
      </c>
      <c r="B459" s="7" t="s">
        <v>655</v>
      </c>
      <c r="C459" s="6">
        <v>8</v>
      </c>
      <c r="D459" s="6">
        <v>9</v>
      </c>
      <c r="E459" s="6">
        <v>13</v>
      </c>
      <c r="F459" s="6">
        <v>5</v>
      </c>
      <c r="G459" s="9">
        <v>45835.976689814801</v>
      </c>
      <c r="H459" s="9">
        <v>45836.226689814801</v>
      </c>
      <c r="I459" s="9">
        <v>45836.747523148202</v>
      </c>
      <c r="J459" s="9">
        <v>45837.247523148202</v>
      </c>
      <c r="K459" s="7" t="s">
        <v>195</v>
      </c>
      <c r="L459" s="10">
        <f t="shared" si="28"/>
        <v>6</v>
      </c>
      <c r="M459" s="10">
        <f t="shared" si="29"/>
        <v>12.500000001629815</v>
      </c>
      <c r="N459" s="10">
        <f t="shared" si="30"/>
        <v>30.500000001629815</v>
      </c>
      <c r="O459" s="7" t="str">
        <f>IF(ISBLANK(I459),"N/A",IF(((I459-H459)*24)&gt;INDEX(Dim_ServiceType!$E$2:$E$16,MATCH(E459,Dim_ServiceType!$A$2:$A$16,0)),"Yes","No"))</f>
        <v>No</v>
      </c>
      <c r="P459" s="7" t="str">
        <f t="shared" si="31"/>
        <v>Closed</v>
      </c>
      <c r="Q459" s="6">
        <v>2</v>
      </c>
      <c r="R459" s="7" t="s">
        <v>196</v>
      </c>
    </row>
    <row r="460" spans="1:18" x14ac:dyDescent="0.35">
      <c r="A460" s="6">
        <v>459</v>
      </c>
      <c r="B460" s="7" t="s">
        <v>656</v>
      </c>
      <c r="C460" s="6">
        <v>12</v>
      </c>
      <c r="D460" s="6">
        <v>7</v>
      </c>
      <c r="E460" s="6">
        <v>13</v>
      </c>
      <c r="F460" s="6">
        <v>2</v>
      </c>
      <c r="G460" s="9">
        <v>45909.1973842593</v>
      </c>
      <c r="H460" s="9">
        <v>45909.218217592599</v>
      </c>
      <c r="I460" s="9">
        <v>45910.493217592601</v>
      </c>
      <c r="J460" s="9">
        <v>45911.493217592601</v>
      </c>
      <c r="K460" s="7" t="s">
        <v>207</v>
      </c>
      <c r="L460" s="10">
        <f t="shared" si="28"/>
        <v>0.49999999918509275</v>
      </c>
      <c r="M460" s="10">
        <f t="shared" si="29"/>
        <v>30.600000000034925</v>
      </c>
      <c r="N460" s="10">
        <f t="shared" si="30"/>
        <v>55.099999999220017</v>
      </c>
      <c r="O460" s="7" t="str">
        <f>IF(ISBLANK(I460),"N/A",IF(((I460-H460)*24)&gt;INDEX(Dim_ServiceType!$E$2:$E$16,MATCH(E460,Dim_ServiceType!$A$2:$A$16,0)),"Yes","No"))</f>
        <v>Yes</v>
      </c>
      <c r="P460" s="7" t="str">
        <f t="shared" si="31"/>
        <v>Closed</v>
      </c>
      <c r="Q460" s="6">
        <v>1</v>
      </c>
      <c r="R460" s="7" t="s">
        <v>196</v>
      </c>
    </row>
    <row r="461" spans="1:18" x14ac:dyDescent="0.35">
      <c r="A461" s="6">
        <v>460</v>
      </c>
      <c r="B461" s="7" t="s">
        <v>657</v>
      </c>
      <c r="C461" s="6">
        <v>1</v>
      </c>
      <c r="D461" s="6">
        <v>8</v>
      </c>
      <c r="E461" s="6">
        <v>3</v>
      </c>
      <c r="F461" s="6">
        <v>2</v>
      </c>
      <c r="G461" s="9">
        <v>45747.317106481503</v>
      </c>
      <c r="H461" s="9">
        <v>45747.337939814803</v>
      </c>
      <c r="I461" s="9">
        <v>45748.2879398148</v>
      </c>
      <c r="J461" s="9">
        <v>45748.4546064815</v>
      </c>
      <c r="K461" s="7" t="s">
        <v>200</v>
      </c>
      <c r="L461" s="10">
        <f t="shared" si="28"/>
        <v>0.49999999918509275</v>
      </c>
      <c r="M461" s="10">
        <f t="shared" si="29"/>
        <v>22.799999999930151</v>
      </c>
      <c r="N461" s="10">
        <f t="shared" si="30"/>
        <v>27.299999999930151</v>
      </c>
      <c r="O461" s="7" t="str">
        <f>IF(ISBLANK(I461),"N/A",IF(((I461-H461)*24)&gt;INDEX(Dim_ServiceType!$E$2:$E$16,MATCH(E461,Dim_ServiceType!$A$2:$A$16,0)),"Yes","No"))</f>
        <v>Yes</v>
      </c>
      <c r="P461" s="7" t="str">
        <f t="shared" si="31"/>
        <v>Closed</v>
      </c>
      <c r="Q461" s="6">
        <v>5</v>
      </c>
      <c r="R461" s="7" t="s">
        <v>196</v>
      </c>
    </row>
    <row r="462" spans="1:18" x14ac:dyDescent="0.35">
      <c r="A462" s="6">
        <v>461</v>
      </c>
      <c r="B462" s="7" t="s">
        <v>658</v>
      </c>
      <c r="C462" s="6">
        <v>8</v>
      </c>
      <c r="D462" s="6">
        <v>9</v>
      </c>
      <c r="E462" s="6">
        <v>15</v>
      </c>
      <c r="F462" s="6">
        <v>7</v>
      </c>
      <c r="G462" s="9">
        <v>45887.728379629603</v>
      </c>
      <c r="H462" s="9">
        <v>45888.478379629603</v>
      </c>
      <c r="I462" s="9">
        <v>45889.370046296302</v>
      </c>
      <c r="J462" s="9">
        <v>45889.411712963003</v>
      </c>
      <c r="K462" s="7" t="s">
        <v>198</v>
      </c>
      <c r="L462" s="10">
        <f t="shared" si="28"/>
        <v>18</v>
      </c>
      <c r="M462" s="10">
        <f t="shared" si="29"/>
        <v>21.400000000779983</v>
      </c>
      <c r="N462" s="10">
        <f t="shared" si="30"/>
        <v>40.40000000159489</v>
      </c>
      <c r="O462" s="7" t="str">
        <f>IF(ISBLANK(I462),"N/A",IF(((I462-H462)*24)&gt;INDEX(Dim_ServiceType!$E$2:$E$16,MATCH(E462,Dim_ServiceType!$A$2:$A$16,0)),"Yes","No"))</f>
        <v>No</v>
      </c>
      <c r="P462" s="7" t="str">
        <f t="shared" si="31"/>
        <v>Closed</v>
      </c>
      <c r="Q462" s="6">
        <v>5</v>
      </c>
      <c r="R462" s="7" t="s">
        <v>196</v>
      </c>
    </row>
    <row r="463" spans="1:18" x14ac:dyDescent="0.35">
      <c r="A463" s="6">
        <v>462</v>
      </c>
      <c r="B463" s="7" t="s">
        <v>659</v>
      </c>
      <c r="C463" s="6">
        <v>7</v>
      </c>
      <c r="D463" s="6">
        <v>5</v>
      </c>
      <c r="E463" s="6">
        <v>14</v>
      </c>
      <c r="F463" s="6">
        <v>7</v>
      </c>
      <c r="G463" s="9">
        <v>45818.278402777803</v>
      </c>
      <c r="H463" s="9">
        <v>45818.361736111103</v>
      </c>
      <c r="I463" s="9">
        <v>45818.532569444498</v>
      </c>
      <c r="J463" s="9">
        <v>45818.615902777798</v>
      </c>
      <c r="K463" s="7" t="s">
        <v>198</v>
      </c>
      <c r="L463" s="10">
        <f t="shared" si="28"/>
        <v>1.9999999991850927</v>
      </c>
      <c r="M463" s="10">
        <f t="shared" si="29"/>
        <v>4.1000000014901161</v>
      </c>
      <c r="N463" s="10">
        <f t="shared" si="30"/>
        <v>8.0999999998603016</v>
      </c>
      <c r="O463" s="7" t="str">
        <f>IF(ISBLANK(I463),"N/A",IF(((I463-H463)*24)&gt;INDEX(Dim_ServiceType!$E$2:$E$16,MATCH(E463,Dim_ServiceType!$A$2:$A$16,0)),"Yes","No"))</f>
        <v>No</v>
      </c>
      <c r="P463" s="7" t="str">
        <f t="shared" si="31"/>
        <v>Closed</v>
      </c>
      <c r="Q463" s="6">
        <v>1</v>
      </c>
      <c r="R463" s="7" t="s">
        <v>193</v>
      </c>
    </row>
    <row r="464" spans="1:18" x14ac:dyDescent="0.35">
      <c r="A464" s="6">
        <v>463</v>
      </c>
      <c r="B464" s="7" t="s">
        <v>660</v>
      </c>
      <c r="C464" s="6">
        <v>3</v>
      </c>
      <c r="D464" s="6">
        <v>9</v>
      </c>
      <c r="E464" s="6">
        <v>3</v>
      </c>
      <c r="F464" s="6">
        <v>8</v>
      </c>
      <c r="G464" s="9">
        <v>45669.286458333299</v>
      </c>
      <c r="H464" s="9">
        <v>45669.536458333299</v>
      </c>
      <c r="I464" s="9">
        <v>45669.815625000003</v>
      </c>
      <c r="J464" s="9">
        <v>45669.982291666704</v>
      </c>
      <c r="K464" s="7" t="s">
        <v>192</v>
      </c>
      <c r="L464" s="10">
        <f t="shared" si="28"/>
        <v>6</v>
      </c>
      <c r="M464" s="10">
        <f t="shared" si="29"/>
        <v>6.7000000008847564</v>
      </c>
      <c r="N464" s="10">
        <f t="shared" si="30"/>
        <v>16.700000001699664</v>
      </c>
      <c r="O464" s="7" t="str">
        <f>IF(ISBLANK(I464),"N/A",IF(((I464-H464)*24)&gt;INDEX(Dim_ServiceType!$E$2:$E$16,MATCH(E464,Dim_ServiceType!$A$2:$A$16,0)),"Yes","No"))</f>
        <v>No</v>
      </c>
      <c r="P464" s="7" t="str">
        <f t="shared" si="31"/>
        <v>Closed</v>
      </c>
      <c r="Q464" s="6">
        <v>4</v>
      </c>
      <c r="R464" s="7" t="s">
        <v>196</v>
      </c>
    </row>
    <row r="465" spans="1:18" x14ac:dyDescent="0.35">
      <c r="A465" s="6">
        <v>464</v>
      </c>
      <c r="B465" s="7" t="s">
        <v>661</v>
      </c>
      <c r="C465" s="6">
        <v>6</v>
      </c>
      <c r="D465" s="6">
        <v>14</v>
      </c>
      <c r="E465" s="6">
        <v>6</v>
      </c>
      <c r="F465" s="6">
        <v>12</v>
      </c>
      <c r="G465" s="9">
        <v>45946.8183333333</v>
      </c>
      <c r="H465" s="9">
        <v>45946.9433333333</v>
      </c>
      <c r="I465" s="9">
        <v>45947.730833333299</v>
      </c>
      <c r="J465" s="9">
        <v>45948.730833333299</v>
      </c>
      <c r="K465" s="7" t="s">
        <v>207</v>
      </c>
      <c r="L465" s="10">
        <f t="shared" si="28"/>
        <v>3</v>
      </c>
      <c r="M465" s="10">
        <f t="shared" si="29"/>
        <v>18.899999999965075</v>
      </c>
      <c r="N465" s="10">
        <f t="shared" si="30"/>
        <v>45.899999999965075</v>
      </c>
      <c r="O465" s="7" t="str">
        <f>IF(ISBLANK(I465),"N/A",IF(((I465-H465)*24)&gt;INDEX(Dim_ServiceType!$E$2:$E$16,MATCH(E465,Dim_ServiceType!$A$2:$A$16,0)),"Yes","No"))</f>
        <v>No</v>
      </c>
      <c r="P465" s="7" t="str">
        <f t="shared" si="31"/>
        <v>Closed</v>
      </c>
      <c r="Q465" s="6">
        <v>2</v>
      </c>
      <c r="R465" s="7" t="s">
        <v>193</v>
      </c>
    </row>
    <row r="466" spans="1:18" x14ac:dyDescent="0.35">
      <c r="A466" s="6">
        <v>465</v>
      </c>
      <c r="B466" s="7" t="s">
        <v>662</v>
      </c>
      <c r="C466" s="6">
        <v>6</v>
      </c>
      <c r="D466" s="6">
        <v>10</v>
      </c>
      <c r="E466" s="6">
        <v>15</v>
      </c>
      <c r="F466" s="6">
        <v>6</v>
      </c>
      <c r="G466" s="9">
        <v>45721.308032407404</v>
      </c>
      <c r="H466" s="9">
        <v>45721.349699074097</v>
      </c>
      <c r="I466" s="9">
        <v>45721.878865740699</v>
      </c>
      <c r="J466" s="9">
        <v>45722.128865740699</v>
      </c>
      <c r="K466" s="7" t="s">
        <v>192</v>
      </c>
      <c r="L466" s="10">
        <f t="shared" si="28"/>
        <v>1.0000000006402843</v>
      </c>
      <c r="M466" s="10">
        <f t="shared" si="29"/>
        <v>12.699999998440035</v>
      </c>
      <c r="N466" s="10">
        <f t="shared" si="30"/>
        <v>19.699999999080319</v>
      </c>
      <c r="O466" s="7" t="str">
        <f>IF(ISBLANK(I466),"N/A",IF(((I466-H466)*24)&gt;INDEX(Dim_ServiceType!$E$2:$E$16,MATCH(E466,Dim_ServiceType!$A$2:$A$16,0)),"Yes","No"))</f>
        <v>No</v>
      </c>
      <c r="P466" s="7" t="str">
        <f t="shared" si="31"/>
        <v>Closed</v>
      </c>
      <c r="Q466" s="6">
        <v>5</v>
      </c>
      <c r="R466" s="7" t="s">
        <v>196</v>
      </c>
    </row>
    <row r="467" spans="1:18" x14ac:dyDescent="0.35">
      <c r="A467" s="6">
        <v>466</v>
      </c>
      <c r="B467" s="7" t="s">
        <v>663</v>
      </c>
      <c r="C467" s="6">
        <v>3</v>
      </c>
      <c r="D467" s="6">
        <v>15</v>
      </c>
      <c r="E467" s="6">
        <v>3</v>
      </c>
      <c r="F467" s="6">
        <v>3</v>
      </c>
      <c r="G467" s="9">
        <v>45970.0782638889</v>
      </c>
      <c r="H467" s="9">
        <v>45970.3282638889</v>
      </c>
      <c r="I467" s="9">
        <v>45970.7449305556</v>
      </c>
      <c r="J467" s="9">
        <v>45970.786597222199</v>
      </c>
      <c r="K467" s="7" t="s">
        <v>207</v>
      </c>
      <c r="L467" s="10">
        <f t="shared" si="28"/>
        <v>6</v>
      </c>
      <c r="M467" s="10">
        <f t="shared" si="29"/>
        <v>10.000000000814907</v>
      </c>
      <c r="N467" s="10">
        <f t="shared" si="30"/>
        <v>16.999999999185093</v>
      </c>
      <c r="O467" s="7" t="str">
        <f>IF(ISBLANK(I467),"N/A",IF(((I467-H467)*24)&gt;INDEX(Dim_ServiceType!$E$2:$E$16,MATCH(E467,Dim_ServiceType!$A$2:$A$16,0)),"Yes","No"))</f>
        <v>Yes</v>
      </c>
      <c r="P467" s="7" t="str">
        <f t="shared" si="31"/>
        <v>Closed</v>
      </c>
      <c r="Q467" s="6">
        <v>3</v>
      </c>
      <c r="R467" s="7" t="s">
        <v>196</v>
      </c>
    </row>
    <row r="468" spans="1:18" x14ac:dyDescent="0.35">
      <c r="A468" s="6">
        <v>467</v>
      </c>
      <c r="B468" s="7" t="s">
        <v>664</v>
      </c>
      <c r="C468" s="6">
        <v>3</v>
      </c>
      <c r="D468" s="6">
        <v>2</v>
      </c>
      <c r="E468" s="6">
        <v>3</v>
      </c>
      <c r="F468" s="6">
        <v>5</v>
      </c>
      <c r="G468" s="9">
        <v>45773.011851851901</v>
      </c>
      <c r="H468" s="9">
        <v>45773.095185185201</v>
      </c>
      <c r="I468" s="9">
        <v>45773.257685185199</v>
      </c>
      <c r="J468" s="9">
        <v>45773.341018518498</v>
      </c>
      <c r="K468" s="7" t="s">
        <v>198</v>
      </c>
      <c r="L468" s="10">
        <f t="shared" si="28"/>
        <v>1.9999999991850927</v>
      </c>
      <c r="M468" s="10">
        <f t="shared" si="29"/>
        <v>3.8999999999650754</v>
      </c>
      <c r="N468" s="10">
        <f t="shared" si="30"/>
        <v>7.8999999983352609</v>
      </c>
      <c r="O468" s="7" t="str">
        <f>IF(ISBLANK(I468),"N/A",IF(((I468-H468)*24)&gt;INDEX(Dim_ServiceType!$E$2:$E$16,MATCH(E468,Dim_ServiceType!$A$2:$A$16,0)),"Yes","No"))</f>
        <v>No</v>
      </c>
      <c r="P468" s="7" t="str">
        <f t="shared" si="31"/>
        <v>Closed</v>
      </c>
      <c r="Q468" s="6">
        <v>4</v>
      </c>
      <c r="R468" s="7" t="s">
        <v>196</v>
      </c>
    </row>
    <row r="469" spans="1:18" x14ac:dyDescent="0.35">
      <c r="A469" s="6">
        <v>468</v>
      </c>
      <c r="B469" s="7" t="s">
        <v>665</v>
      </c>
      <c r="C469" s="6">
        <v>3</v>
      </c>
      <c r="D469" s="6">
        <v>14</v>
      </c>
      <c r="E469" s="6">
        <v>10</v>
      </c>
      <c r="F469" s="6">
        <v>2</v>
      </c>
      <c r="G469" s="9">
        <v>45900.453240740702</v>
      </c>
      <c r="H469" s="9">
        <v>45900.953240740702</v>
      </c>
      <c r="I469" s="9">
        <v>45901.178240740701</v>
      </c>
      <c r="J469" s="9">
        <v>45901.261574074102</v>
      </c>
      <c r="K469" s="7" t="s">
        <v>207</v>
      </c>
      <c r="L469" s="10">
        <f t="shared" si="28"/>
        <v>12</v>
      </c>
      <c r="M469" s="10">
        <f t="shared" si="29"/>
        <v>5.3999999999650754</v>
      </c>
      <c r="N469" s="10">
        <f t="shared" si="30"/>
        <v>19.40000000159489</v>
      </c>
      <c r="O469" s="7" t="str">
        <f>IF(ISBLANK(I469),"N/A",IF(((I469-H469)*24)&gt;INDEX(Dim_ServiceType!$E$2:$E$16,MATCH(E469,Dim_ServiceType!$A$2:$A$16,0)),"Yes","No"))</f>
        <v>No</v>
      </c>
      <c r="P469" s="7" t="str">
        <f t="shared" si="31"/>
        <v>Closed</v>
      </c>
      <c r="Q469" s="6">
        <v>4</v>
      </c>
      <c r="R469" s="7" t="s">
        <v>196</v>
      </c>
    </row>
    <row r="470" spans="1:18" x14ac:dyDescent="0.35">
      <c r="A470" s="6">
        <v>469</v>
      </c>
      <c r="B470" s="7" t="s">
        <v>666</v>
      </c>
      <c r="C470" s="6">
        <v>11</v>
      </c>
      <c r="D470" s="6">
        <v>7</v>
      </c>
      <c r="E470" s="6">
        <v>13</v>
      </c>
      <c r="F470" s="6">
        <v>13</v>
      </c>
      <c r="G470" s="9">
        <v>45951.0690972222</v>
      </c>
      <c r="H470" s="9">
        <v>45951.1940972222</v>
      </c>
      <c r="I470" s="9"/>
      <c r="J470" s="9"/>
      <c r="K470" s="7" t="s">
        <v>198</v>
      </c>
      <c r="L470" s="10">
        <f t="shared" si="28"/>
        <v>3</v>
      </c>
      <c r="M470" s="10" t="str">
        <f t="shared" si="29"/>
        <v/>
      </c>
      <c r="N470" s="10" t="str">
        <f t="shared" si="30"/>
        <v/>
      </c>
      <c r="O470" s="7" t="str">
        <f>IF(ISBLANK(I470),"N/A",IF(((I470-H470)*24)&gt;INDEX(Dim_ServiceType!$E$2:$E$16,MATCH(E470,Dim_ServiceType!$A$2:$A$16,0)),"Yes","No"))</f>
        <v>N/A</v>
      </c>
      <c r="P470" s="7" t="str">
        <f t="shared" si="31"/>
        <v>In Progress</v>
      </c>
      <c r="Q470" s="6"/>
      <c r="R470" s="7"/>
    </row>
    <row r="471" spans="1:18" x14ac:dyDescent="0.35">
      <c r="A471" s="6">
        <v>470</v>
      </c>
      <c r="B471" s="7" t="s">
        <v>667</v>
      </c>
      <c r="C471" s="6">
        <v>13</v>
      </c>
      <c r="D471" s="6">
        <v>8</v>
      </c>
      <c r="E471" s="6">
        <v>7</v>
      </c>
      <c r="F471" s="6">
        <v>6</v>
      </c>
      <c r="G471" s="9">
        <v>45909.936967592599</v>
      </c>
      <c r="H471" s="9">
        <v>45910.270300925898</v>
      </c>
      <c r="I471" s="9">
        <v>45910.903634259303</v>
      </c>
      <c r="J471" s="9">
        <v>45910.986967592602</v>
      </c>
      <c r="K471" s="7" t="s">
        <v>192</v>
      </c>
      <c r="L471" s="10">
        <f t="shared" si="28"/>
        <v>7.9999999991850927</v>
      </c>
      <c r="M471" s="10">
        <f t="shared" si="29"/>
        <v>15.200000001699664</v>
      </c>
      <c r="N471" s="10">
        <f t="shared" si="30"/>
        <v>25.200000000069849</v>
      </c>
      <c r="O471" s="7" t="str">
        <f>IF(ISBLANK(I471),"N/A",IF(((I471-H471)*24)&gt;INDEX(Dim_ServiceType!$E$2:$E$16,MATCH(E471,Dim_ServiceType!$A$2:$A$16,0)),"Yes","No"))</f>
        <v>No</v>
      </c>
      <c r="P471" s="7" t="str">
        <f t="shared" si="31"/>
        <v>Closed</v>
      </c>
      <c r="Q471" s="6">
        <v>2</v>
      </c>
      <c r="R471" s="7" t="s">
        <v>193</v>
      </c>
    </row>
    <row r="472" spans="1:18" x14ac:dyDescent="0.35">
      <c r="A472" s="6">
        <v>471</v>
      </c>
      <c r="B472" s="7" t="s">
        <v>668</v>
      </c>
      <c r="C472" s="6">
        <v>7</v>
      </c>
      <c r="D472" s="6">
        <v>6</v>
      </c>
      <c r="E472" s="6">
        <v>9</v>
      </c>
      <c r="F472" s="6">
        <v>11</v>
      </c>
      <c r="G472" s="9">
        <v>45736.943611111099</v>
      </c>
      <c r="H472" s="9">
        <v>45737.276944444398</v>
      </c>
      <c r="I472" s="9">
        <v>45739.564444444499</v>
      </c>
      <c r="J472" s="9">
        <v>45740.064444444499</v>
      </c>
      <c r="K472" s="7" t="s">
        <v>192</v>
      </c>
      <c r="L472" s="10">
        <f t="shared" si="28"/>
        <v>7.9999999991850927</v>
      </c>
      <c r="M472" s="10">
        <f t="shared" si="29"/>
        <v>54.900000002409797</v>
      </c>
      <c r="N472" s="10">
        <f t="shared" si="30"/>
        <v>74.90000000159489</v>
      </c>
      <c r="O472" s="7" t="str">
        <f>IF(ISBLANK(I472),"N/A",IF(((I472-H472)*24)&gt;INDEX(Dim_ServiceType!$E$2:$E$16,MATCH(E472,Dim_ServiceType!$A$2:$A$16,0)),"Yes","No"))</f>
        <v>No</v>
      </c>
      <c r="P472" s="7" t="str">
        <f t="shared" si="31"/>
        <v>Closed</v>
      </c>
      <c r="Q472" s="6">
        <v>4</v>
      </c>
      <c r="R472" s="7" t="s">
        <v>196</v>
      </c>
    </row>
    <row r="473" spans="1:18" x14ac:dyDescent="0.35">
      <c r="A473" s="6">
        <v>472</v>
      </c>
      <c r="B473" s="7" t="s">
        <v>669</v>
      </c>
      <c r="C473" s="6">
        <v>14</v>
      </c>
      <c r="D473" s="6">
        <v>1</v>
      </c>
      <c r="E473" s="6">
        <v>13</v>
      </c>
      <c r="F473" s="6">
        <v>7</v>
      </c>
      <c r="G473" s="9">
        <v>45981.826562499999</v>
      </c>
      <c r="H473" s="9">
        <v>45981.868229166699</v>
      </c>
      <c r="I473" s="9">
        <v>45983.055729166699</v>
      </c>
      <c r="J473" s="9">
        <v>45983.555729166699</v>
      </c>
      <c r="K473" s="7" t="s">
        <v>200</v>
      </c>
      <c r="L473" s="10">
        <f t="shared" si="28"/>
        <v>1.0000000008149073</v>
      </c>
      <c r="M473" s="10">
        <f t="shared" si="29"/>
        <v>28.5</v>
      </c>
      <c r="N473" s="10">
        <f t="shared" si="30"/>
        <v>41.500000000814907</v>
      </c>
      <c r="O473" s="7" t="str">
        <f>IF(ISBLANK(I473),"N/A",IF(((I473-H473)*24)&gt;INDEX(Dim_ServiceType!$E$2:$E$16,MATCH(E473,Dim_ServiceType!$A$2:$A$16,0)),"Yes","No"))</f>
        <v>Yes</v>
      </c>
      <c r="P473" s="7" t="str">
        <f t="shared" si="31"/>
        <v>Closed</v>
      </c>
      <c r="Q473" s="6">
        <v>5</v>
      </c>
      <c r="R473" s="7" t="s">
        <v>196</v>
      </c>
    </row>
    <row r="474" spans="1:18" x14ac:dyDescent="0.35">
      <c r="A474" s="6">
        <v>473</v>
      </c>
      <c r="B474" s="7" t="s">
        <v>670</v>
      </c>
      <c r="C474" s="6">
        <v>4</v>
      </c>
      <c r="D474" s="6">
        <v>15</v>
      </c>
      <c r="E474" s="6">
        <v>15</v>
      </c>
      <c r="F474" s="6">
        <v>4</v>
      </c>
      <c r="G474" s="9">
        <v>45992.402303240699</v>
      </c>
      <c r="H474" s="9"/>
      <c r="I474" s="9"/>
      <c r="J474" s="9"/>
      <c r="K474" s="7" t="s">
        <v>200</v>
      </c>
      <c r="L474" s="10" t="str">
        <f t="shared" si="28"/>
        <v/>
      </c>
      <c r="M474" s="10" t="str">
        <f t="shared" si="29"/>
        <v/>
      </c>
      <c r="N474" s="10" t="str">
        <f t="shared" si="30"/>
        <v/>
      </c>
      <c r="O474" s="7" t="str">
        <f>IF(ISBLANK(I474),"N/A",IF(((I474-H474)*24)&gt;INDEX(Dim_ServiceType!$E$2:$E$16,MATCH(E474,Dim_ServiceType!$A$2:$A$16,0)),"Yes","No"))</f>
        <v>N/A</v>
      </c>
      <c r="P474" s="7" t="str">
        <f t="shared" si="31"/>
        <v>Open (Unassigned)</v>
      </c>
      <c r="Q474" s="6"/>
      <c r="R474" s="7"/>
    </row>
    <row r="475" spans="1:18" x14ac:dyDescent="0.35">
      <c r="A475" s="6">
        <v>474</v>
      </c>
      <c r="B475" s="7" t="s">
        <v>671</v>
      </c>
      <c r="C475" s="6">
        <v>4</v>
      </c>
      <c r="D475" s="6">
        <v>10</v>
      </c>
      <c r="E475" s="6">
        <v>15</v>
      </c>
      <c r="F475" s="6">
        <v>6</v>
      </c>
      <c r="G475" s="9">
        <v>45678.766863425903</v>
      </c>
      <c r="H475" s="9">
        <v>45678.787696759297</v>
      </c>
      <c r="I475" s="9">
        <v>45679.808530092603</v>
      </c>
      <c r="J475" s="9">
        <v>45679.975196759297</v>
      </c>
      <c r="K475" s="7" t="s">
        <v>207</v>
      </c>
      <c r="L475" s="10">
        <f t="shared" si="28"/>
        <v>0.50000000145519152</v>
      </c>
      <c r="M475" s="10">
        <f t="shared" si="29"/>
        <v>24.499999999359716</v>
      </c>
      <c r="N475" s="10">
        <f t="shared" si="30"/>
        <v>29.000000001455192</v>
      </c>
      <c r="O475" s="7" t="str">
        <f>IF(ISBLANK(I475),"N/A",IF(((I475-H475)*24)&gt;INDEX(Dim_ServiceType!$E$2:$E$16,MATCH(E475,Dim_ServiceType!$A$2:$A$16,0)),"Yes","No"))</f>
        <v>Yes</v>
      </c>
      <c r="P475" s="7" t="str">
        <f t="shared" si="31"/>
        <v>Closed</v>
      </c>
      <c r="Q475" s="6">
        <v>1</v>
      </c>
      <c r="R475" s="7" t="s">
        <v>196</v>
      </c>
    </row>
    <row r="476" spans="1:18" x14ac:dyDescent="0.35">
      <c r="A476" s="6">
        <v>475</v>
      </c>
      <c r="B476" s="7" t="s">
        <v>672</v>
      </c>
      <c r="C476" s="6">
        <v>8</v>
      </c>
      <c r="D476" s="6">
        <v>4</v>
      </c>
      <c r="E476" s="6">
        <v>4</v>
      </c>
      <c r="F476" s="6">
        <v>14</v>
      </c>
      <c r="G476" s="9">
        <v>45954.034641203703</v>
      </c>
      <c r="H476" s="9">
        <v>45954.784641203703</v>
      </c>
      <c r="I476" s="9">
        <v>45955.713807870401</v>
      </c>
      <c r="J476" s="9">
        <v>45955.963807870401</v>
      </c>
      <c r="K476" s="7" t="s">
        <v>198</v>
      </c>
      <c r="L476" s="10">
        <f t="shared" si="28"/>
        <v>18</v>
      </c>
      <c r="M476" s="10">
        <f t="shared" si="29"/>
        <v>22.300000000745058</v>
      </c>
      <c r="N476" s="10">
        <f t="shared" si="30"/>
        <v>46.300000000745058</v>
      </c>
      <c r="O476" s="7" t="str">
        <f>IF(ISBLANK(I476),"N/A",IF(((I476-H476)*24)&gt;INDEX(Dim_ServiceType!$E$2:$E$16,MATCH(E476,Dim_ServiceType!$A$2:$A$16,0)),"Yes","No"))</f>
        <v>No</v>
      </c>
      <c r="P476" s="7" t="str">
        <f t="shared" si="31"/>
        <v>Closed</v>
      </c>
      <c r="Q476" s="6">
        <v>5</v>
      </c>
      <c r="R476" s="7" t="s">
        <v>196</v>
      </c>
    </row>
    <row r="477" spans="1:18" x14ac:dyDescent="0.35">
      <c r="A477" s="6">
        <v>476</v>
      </c>
      <c r="B477" s="7" t="s">
        <v>673</v>
      </c>
      <c r="C477" s="6">
        <v>15</v>
      </c>
      <c r="D477" s="6">
        <v>15</v>
      </c>
      <c r="E477" s="6">
        <v>2</v>
      </c>
      <c r="F477" s="6">
        <v>15</v>
      </c>
      <c r="G477" s="9">
        <v>45717.700451388897</v>
      </c>
      <c r="H477" s="9">
        <v>45717.867118055598</v>
      </c>
      <c r="I477" s="9">
        <v>45718.004618055602</v>
      </c>
      <c r="J477" s="9">
        <v>45718.087951388901</v>
      </c>
      <c r="K477" s="7" t="s">
        <v>195</v>
      </c>
      <c r="L477" s="10">
        <f t="shared" si="28"/>
        <v>4.0000000008149073</v>
      </c>
      <c r="M477" s="10">
        <f t="shared" si="29"/>
        <v>3.3000000001047738</v>
      </c>
      <c r="N477" s="10">
        <f t="shared" si="30"/>
        <v>9.3000000001047738</v>
      </c>
      <c r="O477" s="7" t="str">
        <f>IF(ISBLANK(I477),"N/A",IF(((I477-H477)*24)&gt;INDEX(Dim_ServiceType!$E$2:$E$16,MATCH(E477,Dim_ServiceType!$A$2:$A$16,0)),"Yes","No"))</f>
        <v>No</v>
      </c>
      <c r="P477" s="7" t="str">
        <f t="shared" si="31"/>
        <v>Closed</v>
      </c>
      <c r="Q477" s="6">
        <v>4</v>
      </c>
      <c r="R477" s="7" t="s">
        <v>193</v>
      </c>
    </row>
    <row r="478" spans="1:18" x14ac:dyDescent="0.35">
      <c r="A478" s="6">
        <v>477</v>
      </c>
      <c r="B478" s="7" t="s">
        <v>674</v>
      </c>
      <c r="C478" s="6">
        <v>13</v>
      </c>
      <c r="D478" s="6">
        <v>11</v>
      </c>
      <c r="E478" s="6">
        <v>10</v>
      </c>
      <c r="F478" s="6">
        <v>15</v>
      </c>
      <c r="G478" s="9">
        <v>45952.139826388899</v>
      </c>
      <c r="H478" s="9">
        <v>45952.889826388899</v>
      </c>
      <c r="I478" s="9">
        <v>45953.077326388899</v>
      </c>
      <c r="J478" s="9">
        <v>45953.243993055599</v>
      </c>
      <c r="K478" s="7" t="s">
        <v>195</v>
      </c>
      <c r="L478" s="10">
        <f t="shared" si="28"/>
        <v>18</v>
      </c>
      <c r="M478" s="10">
        <f t="shared" si="29"/>
        <v>4.5</v>
      </c>
      <c r="N478" s="10">
        <f t="shared" si="30"/>
        <v>26.500000000814907</v>
      </c>
      <c r="O478" s="7" t="str">
        <f>IF(ISBLANK(I478),"N/A",IF(((I478-H478)*24)&gt;INDEX(Dim_ServiceType!$E$2:$E$16,MATCH(E478,Dim_ServiceType!$A$2:$A$16,0)),"Yes","No"))</f>
        <v>No</v>
      </c>
      <c r="P478" s="7" t="str">
        <f t="shared" si="31"/>
        <v>Closed</v>
      </c>
      <c r="Q478" s="6">
        <v>5</v>
      </c>
      <c r="R478" s="7" t="s">
        <v>196</v>
      </c>
    </row>
    <row r="479" spans="1:18" x14ac:dyDescent="0.35">
      <c r="A479" s="6">
        <v>478</v>
      </c>
      <c r="B479" s="7" t="s">
        <v>675</v>
      </c>
      <c r="C479" s="6">
        <v>9</v>
      </c>
      <c r="D479" s="6">
        <v>3</v>
      </c>
      <c r="E479" s="6">
        <v>11</v>
      </c>
      <c r="F479" s="6">
        <v>8</v>
      </c>
      <c r="G479" s="9">
        <v>45719.998506944401</v>
      </c>
      <c r="H479" s="9">
        <v>45720.165173611102</v>
      </c>
      <c r="I479" s="9">
        <v>45720.531840277799</v>
      </c>
      <c r="J479" s="9">
        <v>45721.031840277799</v>
      </c>
      <c r="K479" s="7" t="s">
        <v>200</v>
      </c>
      <c r="L479" s="10">
        <f t="shared" si="28"/>
        <v>4.0000000008149073</v>
      </c>
      <c r="M479" s="10">
        <f t="shared" si="29"/>
        <v>8.8000000007450581</v>
      </c>
      <c r="N479" s="10">
        <f t="shared" si="30"/>
        <v>24.800000001559965</v>
      </c>
      <c r="O479" s="7" t="str">
        <f>IF(ISBLANK(I479),"N/A",IF(((I479-H479)*24)&gt;INDEX(Dim_ServiceType!$E$2:$E$16,MATCH(E479,Dim_ServiceType!$A$2:$A$16,0)),"Yes","No"))</f>
        <v>No</v>
      </c>
      <c r="P479" s="7" t="str">
        <f t="shared" si="31"/>
        <v>Closed</v>
      </c>
      <c r="Q479" s="6">
        <v>4</v>
      </c>
      <c r="R479" s="7" t="s">
        <v>196</v>
      </c>
    </row>
    <row r="480" spans="1:18" x14ac:dyDescent="0.35">
      <c r="A480" s="6">
        <v>479</v>
      </c>
      <c r="B480" s="7" t="s">
        <v>676</v>
      </c>
      <c r="C480" s="6">
        <v>6</v>
      </c>
      <c r="D480" s="6">
        <v>9</v>
      </c>
      <c r="E480" s="6">
        <v>2</v>
      </c>
      <c r="F480" s="6">
        <v>3</v>
      </c>
      <c r="G480" s="9">
        <v>45789.239733796298</v>
      </c>
      <c r="H480" s="9">
        <v>45789.323067129597</v>
      </c>
      <c r="I480" s="9">
        <v>45789.577233796299</v>
      </c>
      <c r="J480" s="9">
        <v>45789.743900463</v>
      </c>
      <c r="K480" s="7" t="s">
        <v>192</v>
      </c>
      <c r="L480" s="10">
        <f t="shared" si="28"/>
        <v>1.9999999991850927</v>
      </c>
      <c r="M480" s="10">
        <f t="shared" si="29"/>
        <v>6.1000000008498318</v>
      </c>
      <c r="N480" s="10">
        <f t="shared" si="30"/>
        <v>12.100000000849832</v>
      </c>
      <c r="O480" s="7" t="str">
        <f>IF(ISBLANK(I480),"N/A",IF(((I480-H480)*24)&gt;INDEX(Dim_ServiceType!$E$2:$E$16,MATCH(E480,Dim_ServiceType!$A$2:$A$16,0)),"Yes","No"))</f>
        <v>Yes</v>
      </c>
      <c r="P480" s="7" t="str">
        <f t="shared" si="31"/>
        <v>Closed</v>
      </c>
      <c r="Q480" s="6">
        <v>2</v>
      </c>
      <c r="R480" s="7" t="s">
        <v>196</v>
      </c>
    </row>
    <row r="481" spans="1:18" x14ac:dyDescent="0.35">
      <c r="A481" s="6">
        <v>480</v>
      </c>
      <c r="B481" s="7" t="s">
        <v>677</v>
      </c>
      <c r="C481" s="6">
        <v>13</v>
      </c>
      <c r="D481" s="6">
        <v>12</v>
      </c>
      <c r="E481" s="6">
        <v>1</v>
      </c>
      <c r="F481" s="6">
        <v>4</v>
      </c>
      <c r="G481" s="9">
        <v>45866.719282407401</v>
      </c>
      <c r="H481" s="9">
        <v>45867.469282407401</v>
      </c>
      <c r="I481" s="9">
        <v>45867.681782407402</v>
      </c>
      <c r="J481" s="9">
        <v>45867.848449074103</v>
      </c>
      <c r="K481" s="7" t="s">
        <v>198</v>
      </c>
      <c r="L481" s="10">
        <f t="shared" si="28"/>
        <v>18</v>
      </c>
      <c r="M481" s="10">
        <f t="shared" si="29"/>
        <v>5.1000000000349246</v>
      </c>
      <c r="N481" s="10">
        <f t="shared" si="30"/>
        <v>27.100000000849832</v>
      </c>
      <c r="O481" s="7" t="str">
        <f>IF(ISBLANK(I481),"N/A",IF(((I481-H481)*24)&gt;INDEX(Dim_ServiceType!$E$2:$E$16,MATCH(E481,Dim_ServiceType!$A$2:$A$16,0)),"Yes","No"))</f>
        <v>Yes</v>
      </c>
      <c r="P481" s="7" t="str">
        <f t="shared" si="31"/>
        <v>Closed</v>
      </c>
      <c r="Q481" s="6">
        <v>4</v>
      </c>
      <c r="R481" s="7" t="s">
        <v>196</v>
      </c>
    </row>
    <row r="482" spans="1:18" x14ac:dyDescent="0.35">
      <c r="A482" s="6">
        <v>481</v>
      </c>
      <c r="B482" s="7" t="s">
        <v>678</v>
      </c>
      <c r="C482" s="6">
        <v>12</v>
      </c>
      <c r="D482" s="6">
        <v>2</v>
      </c>
      <c r="E482" s="6">
        <v>12</v>
      </c>
      <c r="F482" s="6">
        <v>11</v>
      </c>
      <c r="G482" s="9">
        <v>45891.178101851903</v>
      </c>
      <c r="H482" s="9">
        <v>45891.198935185203</v>
      </c>
      <c r="I482" s="9">
        <v>45891.615601851903</v>
      </c>
      <c r="J482" s="9">
        <v>45891.657268518502</v>
      </c>
      <c r="K482" s="7" t="s">
        <v>198</v>
      </c>
      <c r="L482" s="10">
        <f t="shared" si="28"/>
        <v>0.49999999918509275</v>
      </c>
      <c r="M482" s="10">
        <f t="shared" si="29"/>
        <v>10.000000000814907</v>
      </c>
      <c r="N482" s="10">
        <f t="shared" si="30"/>
        <v>11.499999998370185</v>
      </c>
      <c r="O482" s="7" t="str">
        <f>IF(ISBLANK(I482),"N/A",IF(((I482-H482)*24)&gt;INDEX(Dim_ServiceType!$E$2:$E$16,MATCH(E482,Dim_ServiceType!$A$2:$A$16,0)),"Yes","No"))</f>
        <v>No</v>
      </c>
      <c r="P482" s="7" t="str">
        <f t="shared" si="31"/>
        <v>Closed</v>
      </c>
      <c r="Q482" s="6">
        <v>5</v>
      </c>
      <c r="R482" s="7" t="s">
        <v>196</v>
      </c>
    </row>
    <row r="483" spans="1:18" x14ac:dyDescent="0.35">
      <c r="A483" s="6">
        <v>482</v>
      </c>
      <c r="B483" s="7" t="s">
        <v>679</v>
      </c>
      <c r="C483" s="6">
        <v>7</v>
      </c>
      <c r="D483" s="6">
        <v>15</v>
      </c>
      <c r="E483" s="6">
        <v>3</v>
      </c>
      <c r="F483" s="6">
        <v>8</v>
      </c>
      <c r="G483" s="9">
        <v>45898.026643518497</v>
      </c>
      <c r="H483" s="9">
        <v>45898.109976851898</v>
      </c>
      <c r="I483" s="9">
        <v>45898.318310185197</v>
      </c>
      <c r="J483" s="9">
        <v>45899.318310185197</v>
      </c>
      <c r="K483" s="7" t="s">
        <v>198</v>
      </c>
      <c r="L483" s="10">
        <f t="shared" si="28"/>
        <v>2.0000000016298145</v>
      </c>
      <c r="M483" s="10">
        <f t="shared" si="29"/>
        <v>4.9999999991850927</v>
      </c>
      <c r="N483" s="10">
        <f t="shared" si="30"/>
        <v>31.000000000814907</v>
      </c>
      <c r="O483" s="7" t="str">
        <f>IF(ISBLANK(I483),"N/A",IF(((I483-H483)*24)&gt;INDEX(Dim_ServiceType!$E$2:$E$16,MATCH(E483,Dim_ServiceType!$A$2:$A$16,0)),"Yes","No"))</f>
        <v>No</v>
      </c>
      <c r="P483" s="7" t="str">
        <f t="shared" si="31"/>
        <v>Closed</v>
      </c>
      <c r="Q483" s="6">
        <v>1</v>
      </c>
      <c r="R483" s="7" t="s">
        <v>196</v>
      </c>
    </row>
    <row r="484" spans="1:18" x14ac:dyDescent="0.35">
      <c r="A484" s="6">
        <v>483</v>
      </c>
      <c r="B484" s="7" t="s">
        <v>680</v>
      </c>
      <c r="C484" s="6">
        <v>3</v>
      </c>
      <c r="D484" s="6">
        <v>5</v>
      </c>
      <c r="E484" s="6">
        <v>15</v>
      </c>
      <c r="F484" s="6">
        <v>9</v>
      </c>
      <c r="G484" s="9">
        <v>45930.161412037</v>
      </c>
      <c r="H484" s="9">
        <v>45930.244745370401</v>
      </c>
      <c r="I484" s="9">
        <v>45931.407245370399</v>
      </c>
      <c r="J484" s="9">
        <v>45931.907245370399</v>
      </c>
      <c r="K484" s="7" t="s">
        <v>200</v>
      </c>
      <c r="L484" s="10">
        <f t="shared" si="28"/>
        <v>2.0000000016298145</v>
      </c>
      <c r="M484" s="10">
        <f t="shared" si="29"/>
        <v>27.899999999965075</v>
      </c>
      <c r="N484" s="10">
        <f t="shared" si="30"/>
        <v>41.90000000159489</v>
      </c>
      <c r="O484" s="7" t="str">
        <f>IF(ISBLANK(I484),"N/A",IF(((I484-H484)*24)&gt;INDEX(Dim_ServiceType!$E$2:$E$16,MATCH(E484,Dim_ServiceType!$A$2:$A$16,0)),"Yes","No"))</f>
        <v>Yes</v>
      </c>
      <c r="P484" s="7" t="str">
        <f t="shared" si="31"/>
        <v>Closed</v>
      </c>
      <c r="Q484" s="6">
        <v>4</v>
      </c>
      <c r="R484" s="7" t="s">
        <v>196</v>
      </c>
    </row>
    <row r="485" spans="1:18" x14ac:dyDescent="0.35">
      <c r="A485" s="6">
        <v>484</v>
      </c>
      <c r="B485" s="7" t="s">
        <v>681</v>
      </c>
      <c r="C485" s="6">
        <v>7</v>
      </c>
      <c r="D485" s="6">
        <v>4</v>
      </c>
      <c r="E485" s="6">
        <v>8</v>
      </c>
      <c r="F485" s="6">
        <v>2</v>
      </c>
      <c r="G485" s="9">
        <v>45756.6983680556</v>
      </c>
      <c r="H485" s="9">
        <v>45756.7192013889</v>
      </c>
      <c r="I485" s="9">
        <v>45756.865034722199</v>
      </c>
      <c r="J485" s="9">
        <v>45757.365034722199</v>
      </c>
      <c r="K485" s="7" t="s">
        <v>198</v>
      </c>
      <c r="L485" s="10">
        <f t="shared" si="28"/>
        <v>0.49999999918509275</v>
      </c>
      <c r="M485" s="10">
        <f t="shared" si="29"/>
        <v>3.4999999991850927</v>
      </c>
      <c r="N485" s="10">
        <f t="shared" si="30"/>
        <v>15.999999998370185</v>
      </c>
      <c r="O485" s="7" t="str">
        <f>IF(ISBLANK(I485),"N/A",IF(((I485-H485)*24)&gt;INDEX(Dim_ServiceType!$E$2:$E$16,MATCH(E485,Dim_ServiceType!$A$2:$A$16,0)),"Yes","No"))</f>
        <v>No</v>
      </c>
      <c r="P485" s="7" t="str">
        <f t="shared" si="31"/>
        <v>Closed</v>
      </c>
      <c r="Q485" s="6">
        <v>2</v>
      </c>
      <c r="R485" s="7" t="s">
        <v>196</v>
      </c>
    </row>
    <row r="486" spans="1:18" x14ac:dyDescent="0.35">
      <c r="A486" s="6">
        <v>485</v>
      </c>
      <c r="B486" s="7" t="s">
        <v>682</v>
      </c>
      <c r="C486" s="6">
        <v>8</v>
      </c>
      <c r="D486" s="6">
        <v>5</v>
      </c>
      <c r="E486" s="6">
        <v>15</v>
      </c>
      <c r="F486" s="6">
        <v>12</v>
      </c>
      <c r="G486" s="9">
        <v>45883.461736111101</v>
      </c>
      <c r="H486" s="9">
        <v>45883.961736111101</v>
      </c>
      <c r="I486" s="9">
        <v>45884.390902777799</v>
      </c>
      <c r="J486" s="9">
        <v>45884.640902777799</v>
      </c>
      <c r="K486" s="7" t="s">
        <v>192</v>
      </c>
      <c r="L486" s="10">
        <f t="shared" si="28"/>
        <v>12</v>
      </c>
      <c r="M486" s="10">
        <f t="shared" si="29"/>
        <v>10.300000000745058</v>
      </c>
      <c r="N486" s="10">
        <f t="shared" si="30"/>
        <v>28.300000000745058</v>
      </c>
      <c r="O486" s="7" t="str">
        <f>IF(ISBLANK(I486),"N/A",IF(((I486-H486)*24)&gt;INDEX(Dim_ServiceType!$E$2:$E$16,MATCH(E486,Dim_ServiceType!$A$2:$A$16,0)),"Yes","No"))</f>
        <v>No</v>
      </c>
      <c r="P486" s="7" t="str">
        <f t="shared" si="31"/>
        <v>Closed</v>
      </c>
      <c r="Q486" s="6">
        <v>3</v>
      </c>
      <c r="R486" s="7" t="s">
        <v>196</v>
      </c>
    </row>
    <row r="487" spans="1:18" x14ac:dyDescent="0.35">
      <c r="A487" s="6">
        <v>486</v>
      </c>
      <c r="B487" s="7" t="s">
        <v>683</v>
      </c>
      <c r="C487" s="6">
        <v>6</v>
      </c>
      <c r="D487" s="6">
        <v>8</v>
      </c>
      <c r="E487" s="6">
        <v>5</v>
      </c>
      <c r="F487" s="6">
        <v>14</v>
      </c>
      <c r="G487" s="9">
        <v>45962.966076388897</v>
      </c>
      <c r="H487" s="9">
        <v>45963.007743055598</v>
      </c>
      <c r="I487" s="9">
        <v>45963.466076388897</v>
      </c>
      <c r="J487" s="9">
        <v>45964.466076388897</v>
      </c>
      <c r="K487" s="7" t="s">
        <v>192</v>
      </c>
      <c r="L487" s="10">
        <f t="shared" si="28"/>
        <v>1.0000000008149073</v>
      </c>
      <c r="M487" s="10">
        <f t="shared" si="29"/>
        <v>10.999999999185093</v>
      </c>
      <c r="N487" s="10">
        <f t="shared" si="30"/>
        <v>36</v>
      </c>
      <c r="O487" s="7" t="str">
        <f>IF(ISBLANK(I487),"N/A",IF(((I487-H487)*24)&gt;INDEX(Dim_ServiceType!$E$2:$E$16,MATCH(E487,Dim_ServiceType!$A$2:$A$16,0)),"Yes","No"))</f>
        <v>No</v>
      </c>
      <c r="P487" s="7" t="str">
        <f t="shared" si="31"/>
        <v>Closed</v>
      </c>
      <c r="Q487" s="6">
        <v>4</v>
      </c>
      <c r="R487" s="7" t="s">
        <v>196</v>
      </c>
    </row>
    <row r="488" spans="1:18" x14ac:dyDescent="0.35">
      <c r="A488" s="6">
        <v>487</v>
      </c>
      <c r="B488" s="7" t="s">
        <v>684</v>
      </c>
      <c r="C488" s="6">
        <v>8</v>
      </c>
      <c r="D488" s="6">
        <v>11</v>
      </c>
      <c r="E488" s="6">
        <v>1</v>
      </c>
      <c r="F488" s="6">
        <v>8</v>
      </c>
      <c r="G488" s="9">
        <v>45954.204120370399</v>
      </c>
      <c r="H488" s="9">
        <v>45955.204120370399</v>
      </c>
      <c r="I488" s="9">
        <v>45955.541620370401</v>
      </c>
      <c r="J488" s="9">
        <v>45955.583287037</v>
      </c>
      <c r="K488" s="7" t="s">
        <v>200</v>
      </c>
      <c r="L488" s="10">
        <f t="shared" si="28"/>
        <v>24</v>
      </c>
      <c r="M488" s="10">
        <f t="shared" si="29"/>
        <v>8.1000000000349246</v>
      </c>
      <c r="N488" s="10">
        <f t="shared" si="30"/>
        <v>33.09999999840511</v>
      </c>
      <c r="O488" s="7" t="str">
        <f>IF(ISBLANK(I488),"N/A",IF(((I488-H488)*24)&gt;INDEX(Dim_ServiceType!$E$2:$E$16,MATCH(E488,Dim_ServiceType!$A$2:$A$16,0)),"Yes","No"))</f>
        <v>Yes</v>
      </c>
      <c r="P488" s="7" t="str">
        <f t="shared" si="31"/>
        <v>Closed</v>
      </c>
      <c r="Q488" s="6">
        <v>4</v>
      </c>
      <c r="R488" s="7" t="s">
        <v>196</v>
      </c>
    </row>
    <row r="489" spans="1:18" x14ac:dyDescent="0.35">
      <c r="A489" s="6">
        <v>488</v>
      </c>
      <c r="B489" s="7" t="s">
        <v>685</v>
      </c>
      <c r="C489" s="6">
        <v>11</v>
      </c>
      <c r="D489" s="6">
        <v>1</v>
      </c>
      <c r="E489" s="6">
        <v>8</v>
      </c>
      <c r="F489" s="6">
        <v>3</v>
      </c>
      <c r="G489" s="9">
        <v>45960.045509259297</v>
      </c>
      <c r="H489" s="9">
        <v>45960.295509259297</v>
      </c>
      <c r="I489" s="9">
        <v>45960.5371759259</v>
      </c>
      <c r="J489" s="9">
        <v>45960.7871759259</v>
      </c>
      <c r="K489" s="7" t="s">
        <v>192</v>
      </c>
      <c r="L489" s="10">
        <f t="shared" si="28"/>
        <v>6</v>
      </c>
      <c r="M489" s="10">
        <f t="shared" si="29"/>
        <v>5.7999999984749593</v>
      </c>
      <c r="N489" s="10">
        <f t="shared" si="30"/>
        <v>17.799999998474959</v>
      </c>
      <c r="O489" s="7" t="str">
        <f>IF(ISBLANK(I489),"N/A",IF(((I489-H489)*24)&gt;INDEX(Dim_ServiceType!$E$2:$E$16,MATCH(E489,Dim_ServiceType!$A$2:$A$16,0)),"Yes","No"))</f>
        <v>No</v>
      </c>
      <c r="P489" s="7" t="str">
        <f t="shared" si="31"/>
        <v>Closed</v>
      </c>
      <c r="Q489" s="6">
        <v>2</v>
      </c>
      <c r="R489" s="7" t="s">
        <v>196</v>
      </c>
    </row>
    <row r="490" spans="1:18" x14ac:dyDescent="0.35">
      <c r="A490" s="6">
        <v>489</v>
      </c>
      <c r="B490" s="7" t="s">
        <v>686</v>
      </c>
      <c r="C490" s="6">
        <v>9</v>
      </c>
      <c r="D490" s="6">
        <v>12</v>
      </c>
      <c r="E490" s="6">
        <v>9</v>
      </c>
      <c r="F490" s="6">
        <v>8</v>
      </c>
      <c r="G490" s="9">
        <v>45942.721527777801</v>
      </c>
      <c r="H490" s="9">
        <v>45942.742361111101</v>
      </c>
      <c r="I490" s="9">
        <v>45944.7631944444</v>
      </c>
      <c r="J490" s="9">
        <v>45944.784027777801</v>
      </c>
      <c r="K490" s="7" t="s">
        <v>198</v>
      </c>
      <c r="L490" s="10">
        <f t="shared" si="28"/>
        <v>0.49999999918509275</v>
      </c>
      <c r="M490" s="10">
        <f t="shared" si="29"/>
        <v>48.499999999185093</v>
      </c>
      <c r="N490" s="10">
        <f t="shared" si="30"/>
        <v>49.5</v>
      </c>
      <c r="O490" s="7" t="str">
        <f>IF(ISBLANK(I490),"N/A",IF(((I490-H490)*24)&gt;INDEX(Dim_ServiceType!$E$2:$E$16,MATCH(E490,Dim_ServiceType!$A$2:$A$16,0)),"Yes","No"))</f>
        <v>No</v>
      </c>
      <c r="P490" s="7" t="str">
        <f t="shared" si="31"/>
        <v>Closed</v>
      </c>
      <c r="Q490" s="6">
        <v>5</v>
      </c>
      <c r="R490" s="7" t="s">
        <v>196</v>
      </c>
    </row>
    <row r="491" spans="1:18" x14ac:dyDescent="0.35">
      <c r="A491" s="6">
        <v>490</v>
      </c>
      <c r="B491" s="7" t="s">
        <v>687</v>
      </c>
      <c r="C491" s="6">
        <v>12</v>
      </c>
      <c r="D491" s="6">
        <v>2</v>
      </c>
      <c r="E491" s="6">
        <v>8</v>
      </c>
      <c r="F491" s="6">
        <v>13</v>
      </c>
      <c r="G491" s="9">
        <v>45896.649386574099</v>
      </c>
      <c r="H491" s="9">
        <v>45897.149386574099</v>
      </c>
      <c r="I491" s="9"/>
      <c r="J491" s="9"/>
      <c r="K491" s="7" t="s">
        <v>195</v>
      </c>
      <c r="L491" s="10">
        <f t="shared" si="28"/>
        <v>12</v>
      </c>
      <c r="M491" s="10" t="str">
        <f t="shared" si="29"/>
        <v/>
      </c>
      <c r="N491" s="10" t="str">
        <f t="shared" si="30"/>
        <v/>
      </c>
      <c r="O491" s="7" t="str">
        <f>IF(ISBLANK(I491),"N/A",IF(((I491-H491)*24)&gt;INDEX(Dim_ServiceType!$E$2:$E$16,MATCH(E491,Dim_ServiceType!$A$2:$A$16,0)),"Yes","No"))</f>
        <v>N/A</v>
      </c>
      <c r="P491" s="7" t="str">
        <f t="shared" si="31"/>
        <v>In Progress</v>
      </c>
      <c r="Q491" s="6"/>
      <c r="R491" s="7"/>
    </row>
    <row r="492" spans="1:18" x14ac:dyDescent="0.35">
      <c r="A492" s="6">
        <v>491</v>
      </c>
      <c r="B492" s="7" t="s">
        <v>688</v>
      </c>
      <c r="C492" s="6">
        <v>15</v>
      </c>
      <c r="D492" s="6">
        <v>2</v>
      </c>
      <c r="E492" s="6">
        <v>12</v>
      </c>
      <c r="F492" s="6">
        <v>8</v>
      </c>
      <c r="G492" s="9">
        <v>45984.593946759298</v>
      </c>
      <c r="H492" s="9">
        <v>45984.760613425897</v>
      </c>
      <c r="I492" s="9">
        <v>45985.973113425898</v>
      </c>
      <c r="J492" s="9">
        <v>45986.139780092599</v>
      </c>
      <c r="K492" s="7" t="s">
        <v>200</v>
      </c>
      <c r="L492" s="10">
        <f t="shared" si="28"/>
        <v>3.9999999983701855</v>
      </c>
      <c r="M492" s="10">
        <f t="shared" si="29"/>
        <v>29.100000000034925</v>
      </c>
      <c r="N492" s="10">
        <f t="shared" si="30"/>
        <v>37.099999999220017</v>
      </c>
      <c r="O492" s="7" t="str">
        <f>IF(ISBLANK(I492),"N/A",IF(((I492-H492)*24)&gt;INDEX(Dim_ServiceType!$E$2:$E$16,MATCH(E492,Dim_ServiceType!$A$2:$A$16,0)),"Yes","No"))</f>
        <v>Yes</v>
      </c>
      <c r="P492" s="7" t="str">
        <f t="shared" si="31"/>
        <v>Closed</v>
      </c>
      <c r="Q492" s="6">
        <v>5</v>
      </c>
      <c r="R492" s="7" t="s">
        <v>196</v>
      </c>
    </row>
    <row r="493" spans="1:18" x14ac:dyDescent="0.35">
      <c r="A493" s="6">
        <v>492</v>
      </c>
      <c r="B493" s="7" t="s">
        <v>689</v>
      </c>
      <c r="C493" s="6">
        <v>13</v>
      </c>
      <c r="D493" s="6">
        <v>11</v>
      </c>
      <c r="E493" s="6">
        <v>8</v>
      </c>
      <c r="F493" s="6">
        <v>12</v>
      </c>
      <c r="G493" s="9">
        <v>45936.8343634259</v>
      </c>
      <c r="H493" s="9">
        <v>45937.5843634259</v>
      </c>
      <c r="I493" s="9">
        <v>45937.721863425897</v>
      </c>
      <c r="J493" s="9">
        <v>45937.805196759298</v>
      </c>
      <c r="K493" s="7" t="s">
        <v>192</v>
      </c>
      <c r="L493" s="10">
        <f t="shared" si="28"/>
        <v>18</v>
      </c>
      <c r="M493" s="10">
        <f t="shared" si="29"/>
        <v>3.2999999999301508</v>
      </c>
      <c r="N493" s="10">
        <f t="shared" si="30"/>
        <v>23.300000001559965</v>
      </c>
      <c r="O493" s="7" t="str">
        <f>IF(ISBLANK(I493),"N/A",IF(((I493-H493)*24)&gt;INDEX(Dim_ServiceType!$E$2:$E$16,MATCH(E493,Dim_ServiceType!$A$2:$A$16,0)),"Yes","No"))</f>
        <v>No</v>
      </c>
      <c r="P493" s="7" t="str">
        <f t="shared" si="31"/>
        <v>Closed</v>
      </c>
      <c r="Q493" s="6">
        <v>4</v>
      </c>
      <c r="R493" s="7" t="s">
        <v>196</v>
      </c>
    </row>
    <row r="494" spans="1:18" x14ac:dyDescent="0.35">
      <c r="A494" s="6">
        <v>493</v>
      </c>
      <c r="B494" s="7" t="s">
        <v>690</v>
      </c>
      <c r="C494" s="6">
        <v>11</v>
      </c>
      <c r="D494" s="6">
        <v>2</v>
      </c>
      <c r="E494" s="6">
        <v>11</v>
      </c>
      <c r="F494" s="6">
        <v>13</v>
      </c>
      <c r="G494" s="9">
        <v>45899.118692129603</v>
      </c>
      <c r="H494" s="9">
        <v>45899.868692129603</v>
      </c>
      <c r="I494" s="9">
        <v>45900.2561921296</v>
      </c>
      <c r="J494" s="9">
        <v>45900.339525463001</v>
      </c>
      <c r="K494" s="7" t="s">
        <v>195</v>
      </c>
      <c r="L494" s="10">
        <f t="shared" si="28"/>
        <v>18</v>
      </c>
      <c r="M494" s="10">
        <f t="shared" si="29"/>
        <v>9.2999999999301508</v>
      </c>
      <c r="N494" s="10">
        <f t="shared" si="30"/>
        <v>29.300000001559965</v>
      </c>
      <c r="O494" s="7" t="str">
        <f>IF(ISBLANK(I494),"N/A",IF(((I494-H494)*24)&gt;INDEX(Dim_ServiceType!$E$2:$E$16,MATCH(E494,Dim_ServiceType!$A$2:$A$16,0)),"Yes","No"))</f>
        <v>No</v>
      </c>
      <c r="P494" s="7" t="str">
        <f t="shared" si="31"/>
        <v>Closed</v>
      </c>
      <c r="Q494" s="6">
        <v>4</v>
      </c>
      <c r="R494" s="7" t="s">
        <v>196</v>
      </c>
    </row>
    <row r="495" spans="1:18" x14ac:dyDescent="0.35">
      <c r="A495" s="6">
        <v>494</v>
      </c>
      <c r="B495" s="7" t="s">
        <v>691</v>
      </c>
      <c r="C495" s="6">
        <v>10</v>
      </c>
      <c r="D495" s="6">
        <v>12</v>
      </c>
      <c r="E495" s="6">
        <v>2</v>
      </c>
      <c r="F495" s="6">
        <v>15</v>
      </c>
      <c r="G495" s="9">
        <v>45740.059780092597</v>
      </c>
      <c r="H495" s="9">
        <v>45740.226446759298</v>
      </c>
      <c r="I495" s="9">
        <v>45740.384780092601</v>
      </c>
      <c r="J495" s="9">
        <v>45740.468113425901</v>
      </c>
      <c r="K495" s="7" t="s">
        <v>195</v>
      </c>
      <c r="L495" s="10">
        <f t="shared" si="28"/>
        <v>4.0000000008149073</v>
      </c>
      <c r="M495" s="10">
        <f t="shared" si="29"/>
        <v>3.7999999992898665</v>
      </c>
      <c r="N495" s="10">
        <f t="shared" si="30"/>
        <v>9.7999999992898665</v>
      </c>
      <c r="O495" s="7" t="str">
        <f>IF(ISBLANK(I495),"N/A",IF(((I495-H495)*24)&gt;INDEX(Dim_ServiceType!$E$2:$E$16,MATCH(E495,Dim_ServiceType!$A$2:$A$16,0)),"Yes","No"))</f>
        <v>No</v>
      </c>
      <c r="P495" s="7" t="str">
        <f t="shared" si="31"/>
        <v>Closed</v>
      </c>
      <c r="Q495" s="6">
        <v>4</v>
      </c>
      <c r="R495" s="7" t="s">
        <v>196</v>
      </c>
    </row>
    <row r="496" spans="1:18" x14ac:dyDescent="0.35">
      <c r="A496" s="6">
        <v>495</v>
      </c>
      <c r="B496" s="7" t="s">
        <v>692</v>
      </c>
      <c r="C496" s="6">
        <v>11</v>
      </c>
      <c r="D496" s="6">
        <v>3</v>
      </c>
      <c r="E496" s="6">
        <v>4</v>
      </c>
      <c r="F496" s="6">
        <v>14</v>
      </c>
      <c r="G496" s="9">
        <v>45720.538090277798</v>
      </c>
      <c r="H496" s="9">
        <v>45720.621423611097</v>
      </c>
      <c r="I496" s="9">
        <v>45721.2547569444</v>
      </c>
      <c r="J496" s="9">
        <v>45722.2547569444</v>
      </c>
      <c r="K496" s="7" t="s">
        <v>195</v>
      </c>
      <c r="L496" s="10">
        <f t="shared" si="28"/>
        <v>1.9999999991850927</v>
      </c>
      <c r="M496" s="10">
        <f t="shared" si="29"/>
        <v>15.199999999254942</v>
      </c>
      <c r="N496" s="10">
        <f t="shared" si="30"/>
        <v>41.199999998440035</v>
      </c>
      <c r="O496" s="7" t="str">
        <f>IF(ISBLANK(I496),"N/A",IF(((I496-H496)*24)&gt;INDEX(Dim_ServiceType!$E$2:$E$16,MATCH(E496,Dim_ServiceType!$A$2:$A$16,0)),"Yes","No"))</f>
        <v>No</v>
      </c>
      <c r="P496" s="7" t="str">
        <f t="shared" si="31"/>
        <v>Closed</v>
      </c>
      <c r="Q496" s="6">
        <v>4</v>
      </c>
      <c r="R496" s="7" t="s">
        <v>196</v>
      </c>
    </row>
    <row r="497" spans="1:18" x14ac:dyDescent="0.35">
      <c r="A497" s="6">
        <v>496</v>
      </c>
      <c r="B497" s="7" t="s">
        <v>693</v>
      </c>
      <c r="C497" s="6">
        <v>3</v>
      </c>
      <c r="D497" s="6">
        <v>1</v>
      </c>
      <c r="E497" s="6">
        <v>4</v>
      </c>
      <c r="F497" s="6">
        <v>1</v>
      </c>
      <c r="G497" s="9">
        <v>45779.715208333299</v>
      </c>
      <c r="H497" s="9">
        <v>45780.715208333299</v>
      </c>
      <c r="I497" s="9">
        <v>45781.523541666698</v>
      </c>
      <c r="J497" s="9">
        <v>45782.523541666698</v>
      </c>
      <c r="K497" s="7" t="s">
        <v>200</v>
      </c>
      <c r="L497" s="10">
        <f t="shared" si="28"/>
        <v>24</v>
      </c>
      <c r="M497" s="10">
        <f t="shared" si="29"/>
        <v>19.40000000159489</v>
      </c>
      <c r="N497" s="10">
        <f t="shared" si="30"/>
        <v>67.40000000159489</v>
      </c>
      <c r="O497" s="7" t="str">
        <f>IF(ISBLANK(I497),"N/A",IF(((I497-H497)*24)&gt;INDEX(Dim_ServiceType!$E$2:$E$16,MATCH(E497,Dim_ServiceType!$A$2:$A$16,0)),"Yes","No"))</f>
        <v>No</v>
      </c>
      <c r="P497" s="7" t="str">
        <f t="shared" si="31"/>
        <v>Closed</v>
      </c>
      <c r="Q497" s="6">
        <v>2</v>
      </c>
      <c r="R497" s="7" t="s">
        <v>193</v>
      </c>
    </row>
    <row r="498" spans="1:18" x14ac:dyDescent="0.35">
      <c r="A498" s="6">
        <v>497</v>
      </c>
      <c r="B498" s="7" t="s">
        <v>694</v>
      </c>
      <c r="C498" s="6">
        <v>13</v>
      </c>
      <c r="D498" s="6">
        <v>5</v>
      </c>
      <c r="E498" s="6">
        <v>3</v>
      </c>
      <c r="F498" s="6">
        <v>2</v>
      </c>
      <c r="G498" s="9">
        <v>45750.285405092603</v>
      </c>
      <c r="H498" s="9">
        <v>45750.306238425903</v>
      </c>
      <c r="I498" s="9">
        <v>45750.672905092601</v>
      </c>
      <c r="J498" s="9">
        <v>45751.172905092601</v>
      </c>
      <c r="K498" s="7" t="s">
        <v>207</v>
      </c>
      <c r="L498" s="10">
        <f t="shared" si="28"/>
        <v>0.49999999918509275</v>
      </c>
      <c r="M498" s="10">
        <f t="shared" si="29"/>
        <v>8.8000000007450581</v>
      </c>
      <c r="N498" s="10">
        <f t="shared" si="30"/>
        <v>21.299999999930151</v>
      </c>
      <c r="O498" s="7" t="str">
        <f>IF(ISBLANK(I498),"N/A",IF(((I498-H498)*24)&gt;INDEX(Dim_ServiceType!$E$2:$E$16,MATCH(E498,Dim_ServiceType!$A$2:$A$16,0)),"Yes","No"))</f>
        <v>Yes</v>
      </c>
      <c r="P498" s="7" t="str">
        <f t="shared" si="31"/>
        <v>Closed</v>
      </c>
      <c r="Q498" s="6">
        <v>2</v>
      </c>
      <c r="R498" s="7" t="s">
        <v>196</v>
      </c>
    </row>
    <row r="499" spans="1:18" x14ac:dyDescent="0.35">
      <c r="A499" s="6">
        <v>498</v>
      </c>
      <c r="B499" s="7" t="s">
        <v>695</v>
      </c>
      <c r="C499" s="6">
        <v>1</v>
      </c>
      <c r="D499" s="6">
        <v>5</v>
      </c>
      <c r="E499" s="6">
        <v>1</v>
      </c>
      <c r="F499" s="6">
        <v>14</v>
      </c>
      <c r="G499" s="9">
        <v>45864.763842592598</v>
      </c>
      <c r="H499" s="9">
        <v>45865.513842592598</v>
      </c>
      <c r="I499" s="9">
        <v>45865.6471759259</v>
      </c>
      <c r="J499" s="9">
        <v>45865.730509259301</v>
      </c>
      <c r="K499" s="7" t="s">
        <v>192</v>
      </c>
      <c r="L499" s="10">
        <f t="shared" si="28"/>
        <v>18</v>
      </c>
      <c r="M499" s="10">
        <f t="shared" si="29"/>
        <v>3.1999999992549419</v>
      </c>
      <c r="N499" s="10">
        <f t="shared" si="30"/>
        <v>23.200000000884756</v>
      </c>
      <c r="O499" s="7" t="str">
        <f>IF(ISBLANK(I499),"N/A",IF(((I499-H499)*24)&gt;INDEX(Dim_ServiceType!$E$2:$E$16,MATCH(E499,Dim_ServiceType!$A$2:$A$16,0)),"Yes","No"))</f>
        <v>No</v>
      </c>
      <c r="P499" s="7" t="str">
        <f t="shared" si="31"/>
        <v>Closed</v>
      </c>
      <c r="Q499" s="6">
        <v>4</v>
      </c>
      <c r="R499" s="7" t="s">
        <v>196</v>
      </c>
    </row>
    <row r="500" spans="1:18" x14ac:dyDescent="0.35">
      <c r="A500" s="6">
        <v>499</v>
      </c>
      <c r="B500" s="7" t="s">
        <v>696</v>
      </c>
      <c r="C500" s="6">
        <v>11</v>
      </c>
      <c r="D500" s="6">
        <v>5</v>
      </c>
      <c r="E500" s="6">
        <v>8</v>
      </c>
      <c r="F500" s="6">
        <v>9</v>
      </c>
      <c r="G500" s="9">
        <v>45905.643576388902</v>
      </c>
      <c r="H500" s="9">
        <v>45905.664409722202</v>
      </c>
      <c r="I500" s="9">
        <v>45905.756076388898</v>
      </c>
      <c r="J500" s="9">
        <v>45905.797743055598</v>
      </c>
      <c r="K500" s="7" t="s">
        <v>207</v>
      </c>
      <c r="L500" s="10">
        <f t="shared" si="28"/>
        <v>0.49999999918509275</v>
      </c>
      <c r="M500" s="10">
        <f t="shared" si="29"/>
        <v>2.2000000007101335</v>
      </c>
      <c r="N500" s="10">
        <f t="shared" si="30"/>
        <v>3.7000000007101335</v>
      </c>
      <c r="O500" s="7" t="str">
        <f>IF(ISBLANK(I500),"N/A",IF(((I500-H500)*24)&gt;INDEX(Dim_ServiceType!$E$2:$E$16,MATCH(E500,Dim_ServiceType!$A$2:$A$16,0)),"Yes","No"))</f>
        <v>No</v>
      </c>
      <c r="P500" s="7" t="str">
        <f t="shared" si="31"/>
        <v>Closed</v>
      </c>
      <c r="Q500" s="6">
        <v>2</v>
      </c>
      <c r="R500" s="7" t="s">
        <v>196</v>
      </c>
    </row>
    <row r="501" spans="1:18" x14ac:dyDescent="0.35">
      <c r="A501" s="6">
        <v>500</v>
      </c>
      <c r="B501" s="7" t="s">
        <v>697</v>
      </c>
      <c r="C501" s="6">
        <v>14</v>
      </c>
      <c r="D501" s="6">
        <v>8</v>
      </c>
      <c r="E501" s="6">
        <v>8</v>
      </c>
      <c r="F501" s="6">
        <v>1</v>
      </c>
      <c r="G501" s="9">
        <v>45832.261261574102</v>
      </c>
      <c r="H501" s="9">
        <v>45832.427928240701</v>
      </c>
      <c r="I501" s="9">
        <v>45832.511261574102</v>
      </c>
      <c r="J501" s="9">
        <v>45832.677928240701</v>
      </c>
      <c r="K501" s="7" t="s">
        <v>198</v>
      </c>
      <c r="L501" s="10">
        <f t="shared" si="28"/>
        <v>3.9999999983701855</v>
      </c>
      <c r="M501" s="10">
        <f t="shared" si="29"/>
        <v>2.0000000016298145</v>
      </c>
      <c r="N501" s="10">
        <f t="shared" si="30"/>
        <v>9.9999999983701855</v>
      </c>
      <c r="O501" s="7" t="str">
        <f>IF(ISBLANK(I501),"N/A",IF(((I501-H501)*24)&gt;INDEX(Dim_ServiceType!$E$2:$E$16,MATCH(E501,Dim_ServiceType!$A$2:$A$16,0)),"Yes","No"))</f>
        <v>No</v>
      </c>
      <c r="P501" s="7" t="str">
        <f t="shared" si="31"/>
        <v>Closed</v>
      </c>
      <c r="Q501" s="6">
        <v>3</v>
      </c>
      <c r="R501" s="7" t="s">
        <v>196</v>
      </c>
    </row>
    <row r="502" spans="1:18" x14ac:dyDescent="0.35">
      <c r="A502" s="6">
        <v>501</v>
      </c>
      <c r="B502" s="7" t="s">
        <v>698</v>
      </c>
      <c r="C502" s="6">
        <v>9</v>
      </c>
      <c r="D502" s="6">
        <v>10</v>
      </c>
      <c r="E502" s="6">
        <v>11</v>
      </c>
      <c r="F502" s="6">
        <v>13</v>
      </c>
      <c r="G502" s="9">
        <v>45675.5203819444</v>
      </c>
      <c r="H502" s="9">
        <v>45675.853715277801</v>
      </c>
      <c r="I502" s="9"/>
      <c r="J502" s="9"/>
      <c r="K502" s="7" t="s">
        <v>198</v>
      </c>
      <c r="L502" s="10">
        <f t="shared" si="28"/>
        <v>8.0000000016298145</v>
      </c>
      <c r="M502" s="10" t="str">
        <f t="shared" si="29"/>
        <v/>
      </c>
      <c r="N502" s="10" t="str">
        <f t="shared" si="30"/>
        <v/>
      </c>
      <c r="O502" s="7" t="str">
        <f>IF(ISBLANK(I502),"N/A",IF(((I502-H502)*24)&gt;INDEX(Dim_ServiceType!$E$2:$E$16,MATCH(E502,Dim_ServiceType!$A$2:$A$16,0)),"Yes","No"))</f>
        <v>N/A</v>
      </c>
      <c r="P502" s="7" t="str">
        <f t="shared" si="31"/>
        <v>In Progress</v>
      </c>
      <c r="Q502" s="6"/>
      <c r="R502" s="7"/>
    </row>
    <row r="503" spans="1:18" x14ac:dyDescent="0.35">
      <c r="A503" s="6">
        <v>502</v>
      </c>
      <c r="B503" s="7" t="s">
        <v>699</v>
      </c>
      <c r="C503" s="6">
        <v>1</v>
      </c>
      <c r="D503" s="6">
        <v>1</v>
      </c>
      <c r="E503" s="6">
        <v>10</v>
      </c>
      <c r="F503" s="6">
        <v>3</v>
      </c>
      <c r="G503" s="9">
        <v>45746.247650463003</v>
      </c>
      <c r="H503" s="9">
        <v>45746.497650463003</v>
      </c>
      <c r="I503" s="9">
        <v>45746.668483796297</v>
      </c>
      <c r="J503" s="9">
        <v>45747.168483796297</v>
      </c>
      <c r="K503" s="7" t="s">
        <v>207</v>
      </c>
      <c r="L503" s="10">
        <f t="shared" si="28"/>
        <v>6</v>
      </c>
      <c r="M503" s="10">
        <f t="shared" si="29"/>
        <v>4.0999999990453944</v>
      </c>
      <c r="N503" s="10">
        <f t="shared" si="30"/>
        <v>22.099999999045394</v>
      </c>
      <c r="O503" s="7" t="str">
        <f>IF(ISBLANK(I503),"N/A",IF(((I503-H503)*24)&gt;INDEX(Dim_ServiceType!$E$2:$E$16,MATCH(E503,Dim_ServiceType!$A$2:$A$16,0)),"Yes","No"))</f>
        <v>No</v>
      </c>
      <c r="P503" s="7" t="str">
        <f t="shared" si="31"/>
        <v>Closed</v>
      </c>
      <c r="Q503" s="6">
        <v>5</v>
      </c>
      <c r="R503" s="7" t="s">
        <v>196</v>
      </c>
    </row>
    <row r="504" spans="1:18" x14ac:dyDescent="0.35">
      <c r="A504" s="6">
        <v>503</v>
      </c>
      <c r="B504" s="7" t="s">
        <v>700</v>
      </c>
      <c r="C504" s="6">
        <v>4</v>
      </c>
      <c r="D504" s="6">
        <v>13</v>
      </c>
      <c r="E504" s="6">
        <v>9</v>
      </c>
      <c r="F504" s="6">
        <v>1</v>
      </c>
      <c r="G504" s="9">
        <v>45762.491956018501</v>
      </c>
      <c r="H504" s="9">
        <v>45762.991956018501</v>
      </c>
      <c r="I504" s="9">
        <v>45766.712789351899</v>
      </c>
      <c r="J504" s="9">
        <v>45766.879456018498</v>
      </c>
      <c r="K504" s="7" t="s">
        <v>198</v>
      </c>
      <c r="L504" s="10">
        <f t="shared" si="28"/>
        <v>12</v>
      </c>
      <c r="M504" s="10">
        <f t="shared" si="29"/>
        <v>89.300000001559965</v>
      </c>
      <c r="N504" s="10">
        <f t="shared" si="30"/>
        <v>105.29999999993015</v>
      </c>
      <c r="O504" s="7" t="str">
        <f>IF(ISBLANK(I504),"N/A",IF(((I504-H504)*24)&gt;INDEX(Dim_ServiceType!$E$2:$E$16,MATCH(E504,Dim_ServiceType!$A$2:$A$16,0)),"Yes","No"))</f>
        <v>Yes</v>
      </c>
      <c r="P504" s="7" t="str">
        <f t="shared" si="31"/>
        <v>Closed</v>
      </c>
      <c r="Q504" s="6">
        <v>4</v>
      </c>
      <c r="R504" s="7" t="s">
        <v>196</v>
      </c>
    </row>
    <row r="505" spans="1:18" x14ac:dyDescent="0.35">
      <c r="A505" s="6">
        <v>504</v>
      </c>
      <c r="B505" s="7" t="s">
        <v>701</v>
      </c>
      <c r="C505" s="6">
        <v>2</v>
      </c>
      <c r="D505" s="6">
        <v>13</v>
      </c>
      <c r="E505" s="6">
        <v>2</v>
      </c>
      <c r="F505" s="6">
        <v>6</v>
      </c>
      <c r="G505" s="9">
        <v>45809.804432870398</v>
      </c>
      <c r="H505" s="9">
        <v>45810.304432870398</v>
      </c>
      <c r="I505" s="9"/>
      <c r="J505" s="9"/>
      <c r="K505" s="7" t="s">
        <v>207</v>
      </c>
      <c r="L505" s="10">
        <f t="shared" si="28"/>
        <v>12</v>
      </c>
      <c r="M505" s="10" t="str">
        <f t="shared" si="29"/>
        <v/>
      </c>
      <c r="N505" s="10" t="str">
        <f t="shared" si="30"/>
        <v/>
      </c>
      <c r="O505" s="7" t="str">
        <f>IF(ISBLANK(I505),"N/A",IF(((I505-H505)*24)&gt;INDEX(Dim_ServiceType!$E$2:$E$16,MATCH(E505,Dim_ServiceType!$A$2:$A$16,0)),"Yes","No"))</f>
        <v>N/A</v>
      </c>
      <c r="P505" s="7" t="str">
        <f t="shared" si="31"/>
        <v>In Progress</v>
      </c>
      <c r="Q505" s="6"/>
      <c r="R505" s="7"/>
    </row>
    <row r="506" spans="1:18" x14ac:dyDescent="0.35">
      <c r="A506" s="6">
        <v>505</v>
      </c>
      <c r="B506" s="7" t="s">
        <v>702</v>
      </c>
      <c r="C506" s="6">
        <v>8</v>
      </c>
      <c r="D506" s="6">
        <v>2</v>
      </c>
      <c r="E506" s="6">
        <v>12</v>
      </c>
      <c r="F506" s="6">
        <v>5</v>
      </c>
      <c r="G506" s="9">
        <v>45999.740636574097</v>
      </c>
      <c r="H506" s="9"/>
      <c r="I506" s="9"/>
      <c r="J506" s="9"/>
      <c r="K506" s="7" t="s">
        <v>198</v>
      </c>
      <c r="L506" s="10" t="str">
        <f t="shared" si="28"/>
        <v/>
      </c>
      <c r="M506" s="10" t="str">
        <f t="shared" si="29"/>
        <v/>
      </c>
      <c r="N506" s="10" t="str">
        <f t="shared" si="30"/>
        <v/>
      </c>
      <c r="O506" s="7" t="str">
        <f>IF(ISBLANK(I506),"N/A",IF(((I506-H506)*24)&gt;INDEX(Dim_ServiceType!$E$2:$E$16,MATCH(E506,Dim_ServiceType!$A$2:$A$16,0)),"Yes","No"))</f>
        <v>N/A</v>
      </c>
      <c r="P506" s="7" t="str">
        <f t="shared" si="31"/>
        <v>Open (Unassigned)</v>
      </c>
      <c r="Q506" s="6"/>
      <c r="R506" s="7"/>
    </row>
    <row r="507" spans="1:18" x14ac:dyDescent="0.35">
      <c r="A507" s="6">
        <v>506</v>
      </c>
      <c r="B507" s="7" t="s">
        <v>703</v>
      </c>
      <c r="C507" s="6">
        <v>14</v>
      </c>
      <c r="D507" s="6">
        <v>8</v>
      </c>
      <c r="E507" s="6">
        <v>12</v>
      </c>
      <c r="F507" s="6">
        <v>6</v>
      </c>
      <c r="G507" s="9">
        <v>45668.736157407402</v>
      </c>
      <c r="H507" s="9">
        <v>45669.236157407402</v>
      </c>
      <c r="I507" s="9">
        <v>45670.452824074098</v>
      </c>
      <c r="J507" s="9">
        <v>45670.536157407398</v>
      </c>
      <c r="K507" s="7" t="s">
        <v>198</v>
      </c>
      <c r="L507" s="10">
        <f t="shared" si="28"/>
        <v>12</v>
      </c>
      <c r="M507" s="10">
        <f t="shared" si="29"/>
        <v>29.200000000710133</v>
      </c>
      <c r="N507" s="10">
        <f t="shared" si="30"/>
        <v>43.199999999895226</v>
      </c>
      <c r="O507" s="7" t="str">
        <f>IF(ISBLANK(I507),"N/A",IF(((I507-H507)*24)&gt;INDEX(Dim_ServiceType!$E$2:$E$16,MATCH(E507,Dim_ServiceType!$A$2:$A$16,0)),"Yes","No"))</f>
        <v>Yes</v>
      </c>
      <c r="P507" s="7" t="str">
        <f t="shared" si="31"/>
        <v>Closed</v>
      </c>
      <c r="Q507" s="6">
        <v>3</v>
      </c>
      <c r="R507" s="7" t="s">
        <v>196</v>
      </c>
    </row>
    <row r="508" spans="1:18" x14ac:dyDescent="0.35">
      <c r="A508" s="6">
        <v>507</v>
      </c>
      <c r="B508" s="7" t="s">
        <v>704</v>
      </c>
      <c r="C508" s="6">
        <v>12</v>
      </c>
      <c r="D508" s="6">
        <v>12</v>
      </c>
      <c r="E508" s="6">
        <v>14</v>
      </c>
      <c r="F508" s="6">
        <v>14</v>
      </c>
      <c r="G508" s="9">
        <v>45952.9712268519</v>
      </c>
      <c r="H508" s="9">
        <v>45953.4712268519</v>
      </c>
      <c r="I508" s="9">
        <v>45953.629560185203</v>
      </c>
      <c r="J508" s="9">
        <v>45953.796226851897</v>
      </c>
      <c r="K508" s="7" t="s">
        <v>198</v>
      </c>
      <c r="L508" s="10">
        <f t="shared" si="28"/>
        <v>12</v>
      </c>
      <c r="M508" s="10">
        <f t="shared" si="29"/>
        <v>3.7999999992898665</v>
      </c>
      <c r="N508" s="10">
        <f t="shared" si="30"/>
        <v>19.799999999930151</v>
      </c>
      <c r="O508" s="7" t="str">
        <f>IF(ISBLANK(I508),"N/A",IF(((I508-H508)*24)&gt;INDEX(Dim_ServiceType!$E$2:$E$16,MATCH(E508,Dim_ServiceType!$A$2:$A$16,0)),"Yes","No"))</f>
        <v>No</v>
      </c>
      <c r="P508" s="7" t="str">
        <f t="shared" si="31"/>
        <v>Closed</v>
      </c>
      <c r="Q508" s="6">
        <v>4</v>
      </c>
      <c r="R508" s="7" t="s">
        <v>196</v>
      </c>
    </row>
    <row r="509" spans="1:18" x14ac:dyDescent="0.35">
      <c r="A509" s="6">
        <v>508</v>
      </c>
      <c r="B509" s="7" t="s">
        <v>705</v>
      </c>
      <c r="C509" s="6">
        <v>1</v>
      </c>
      <c r="D509" s="6">
        <v>1</v>
      </c>
      <c r="E509" s="6">
        <v>5</v>
      </c>
      <c r="F509" s="6">
        <v>10</v>
      </c>
      <c r="G509" s="9">
        <v>45701.810821759304</v>
      </c>
      <c r="H509" s="9">
        <v>45702.144155092603</v>
      </c>
      <c r="I509" s="9">
        <v>45702.5316550926</v>
      </c>
      <c r="J509" s="9">
        <v>45703.5316550926</v>
      </c>
      <c r="K509" s="7" t="s">
        <v>195</v>
      </c>
      <c r="L509" s="10">
        <f t="shared" si="28"/>
        <v>7.9999999991850927</v>
      </c>
      <c r="M509" s="10">
        <f t="shared" si="29"/>
        <v>9.2999999999301508</v>
      </c>
      <c r="N509" s="10">
        <f t="shared" si="30"/>
        <v>41.299999999115244</v>
      </c>
      <c r="O509" s="7" t="str">
        <f>IF(ISBLANK(I509),"N/A",IF(((I509-H509)*24)&gt;INDEX(Dim_ServiceType!$E$2:$E$16,MATCH(E509,Dim_ServiceType!$A$2:$A$16,0)),"Yes","No"))</f>
        <v>No</v>
      </c>
      <c r="P509" s="7" t="str">
        <f t="shared" si="31"/>
        <v>Closed</v>
      </c>
      <c r="Q509" s="6">
        <v>4</v>
      </c>
      <c r="R509" s="7" t="s">
        <v>196</v>
      </c>
    </row>
    <row r="510" spans="1:18" x14ac:dyDescent="0.35">
      <c r="A510" s="6">
        <v>509</v>
      </c>
      <c r="B510" s="7" t="s">
        <v>706</v>
      </c>
      <c r="C510" s="6">
        <v>2</v>
      </c>
      <c r="D510" s="6">
        <v>6</v>
      </c>
      <c r="E510" s="6">
        <v>4</v>
      </c>
      <c r="F510" s="6">
        <v>6</v>
      </c>
      <c r="G510" s="9">
        <v>45702.315972222197</v>
      </c>
      <c r="H510" s="9">
        <v>45702.482638888898</v>
      </c>
      <c r="I510" s="9">
        <v>45707.057638888902</v>
      </c>
      <c r="J510" s="9">
        <v>45707.307638888902</v>
      </c>
      <c r="K510" s="7" t="s">
        <v>200</v>
      </c>
      <c r="L510" s="10">
        <f t="shared" si="28"/>
        <v>4.0000000008149073</v>
      </c>
      <c r="M510" s="10">
        <f t="shared" si="29"/>
        <v>109.80000000010477</v>
      </c>
      <c r="N510" s="10">
        <f t="shared" si="30"/>
        <v>119.80000000091968</v>
      </c>
      <c r="O510" s="7" t="str">
        <f>IF(ISBLANK(I510),"N/A",IF(((I510-H510)*24)&gt;INDEX(Dim_ServiceType!$E$2:$E$16,MATCH(E510,Dim_ServiceType!$A$2:$A$16,0)),"Yes","No"))</f>
        <v>Yes</v>
      </c>
      <c r="P510" s="7" t="str">
        <f t="shared" si="31"/>
        <v>Closed</v>
      </c>
      <c r="Q510" s="6">
        <v>4</v>
      </c>
      <c r="R510" s="7" t="s">
        <v>196</v>
      </c>
    </row>
    <row r="511" spans="1:18" x14ac:dyDescent="0.35">
      <c r="A511" s="6">
        <v>510</v>
      </c>
      <c r="B511" s="7" t="s">
        <v>707</v>
      </c>
      <c r="C511" s="6">
        <v>9</v>
      </c>
      <c r="D511" s="6">
        <v>4</v>
      </c>
      <c r="E511" s="6">
        <v>1</v>
      </c>
      <c r="F511" s="6">
        <v>15</v>
      </c>
      <c r="G511" s="9">
        <v>45753.109548611101</v>
      </c>
      <c r="H511" s="9">
        <v>45753.1303819444</v>
      </c>
      <c r="I511" s="9">
        <v>45753.305381944498</v>
      </c>
      <c r="J511" s="9">
        <v>45753.472048611096</v>
      </c>
      <c r="K511" s="7" t="s">
        <v>195</v>
      </c>
      <c r="L511" s="10">
        <f t="shared" si="28"/>
        <v>0.49999999918509275</v>
      </c>
      <c r="M511" s="10">
        <f t="shared" si="29"/>
        <v>4.200000002339948</v>
      </c>
      <c r="N511" s="10">
        <f t="shared" si="30"/>
        <v>8.6999999998952262</v>
      </c>
      <c r="O511" s="7" t="str">
        <f>IF(ISBLANK(I511),"N/A",IF(((I511-H511)*24)&gt;INDEX(Dim_ServiceType!$E$2:$E$16,MATCH(E511,Dim_ServiceType!$A$2:$A$16,0)),"Yes","No"))</f>
        <v>Yes</v>
      </c>
      <c r="P511" s="7" t="str">
        <f t="shared" si="31"/>
        <v>Closed</v>
      </c>
      <c r="Q511" s="6">
        <v>1</v>
      </c>
      <c r="R511" s="7" t="s">
        <v>196</v>
      </c>
    </row>
    <row r="512" spans="1:18" x14ac:dyDescent="0.35">
      <c r="A512" s="6">
        <v>511</v>
      </c>
      <c r="B512" s="7" t="s">
        <v>708</v>
      </c>
      <c r="C512" s="6">
        <v>11</v>
      </c>
      <c r="D512" s="6">
        <v>8</v>
      </c>
      <c r="E512" s="6">
        <v>1</v>
      </c>
      <c r="F512" s="6">
        <v>11</v>
      </c>
      <c r="G512" s="9">
        <v>45713.546898148197</v>
      </c>
      <c r="H512" s="9">
        <v>45713.567731481497</v>
      </c>
      <c r="I512" s="9">
        <v>45713.6635648148</v>
      </c>
      <c r="J512" s="9">
        <v>45713.684398148202</v>
      </c>
      <c r="K512" s="7" t="s">
        <v>192</v>
      </c>
      <c r="L512" s="10">
        <f t="shared" si="28"/>
        <v>0.49999999918509275</v>
      </c>
      <c r="M512" s="10">
        <f t="shared" si="29"/>
        <v>2.2999999992898665</v>
      </c>
      <c r="N512" s="10">
        <f t="shared" si="30"/>
        <v>3.3000000001047738</v>
      </c>
      <c r="O512" s="7" t="str">
        <f>IF(ISBLANK(I512),"N/A",IF(((I512-H512)*24)&gt;INDEX(Dim_ServiceType!$E$2:$E$16,MATCH(E512,Dim_ServiceType!$A$2:$A$16,0)),"Yes","No"))</f>
        <v>No</v>
      </c>
      <c r="P512" s="7" t="str">
        <f t="shared" si="31"/>
        <v>Closed</v>
      </c>
      <c r="Q512" s="6">
        <v>5</v>
      </c>
      <c r="R512" s="7" t="s">
        <v>193</v>
      </c>
    </row>
    <row r="513" spans="1:18" x14ac:dyDescent="0.35">
      <c r="A513" s="6">
        <v>512</v>
      </c>
      <c r="B513" s="7" t="s">
        <v>709</v>
      </c>
      <c r="C513" s="6">
        <v>8</v>
      </c>
      <c r="D513" s="6">
        <v>4</v>
      </c>
      <c r="E513" s="6">
        <v>4</v>
      </c>
      <c r="F513" s="6">
        <v>1</v>
      </c>
      <c r="G513" s="9">
        <v>45720.649398148198</v>
      </c>
      <c r="H513" s="9">
        <v>45720.691064814797</v>
      </c>
      <c r="I513" s="9">
        <v>45721.353564814803</v>
      </c>
      <c r="J513" s="9">
        <v>45721.436898148197</v>
      </c>
      <c r="K513" s="7" t="s">
        <v>198</v>
      </c>
      <c r="L513" s="10">
        <f t="shared" si="28"/>
        <v>0.99999999837018549</v>
      </c>
      <c r="M513" s="10">
        <f t="shared" si="29"/>
        <v>15.900000000139698</v>
      </c>
      <c r="N513" s="10">
        <f t="shared" si="30"/>
        <v>18.899999999965075</v>
      </c>
      <c r="O513" s="7" t="str">
        <f>IF(ISBLANK(I513),"N/A",IF(((I513-H513)*24)&gt;INDEX(Dim_ServiceType!$E$2:$E$16,MATCH(E513,Dim_ServiceType!$A$2:$A$16,0)),"Yes","No"))</f>
        <v>No</v>
      </c>
      <c r="P513" s="7" t="str">
        <f t="shared" si="31"/>
        <v>Closed</v>
      </c>
      <c r="Q513" s="6">
        <v>2</v>
      </c>
      <c r="R513" s="7" t="s">
        <v>196</v>
      </c>
    </row>
    <row r="514" spans="1:18" x14ac:dyDescent="0.35">
      <c r="A514" s="6">
        <v>513</v>
      </c>
      <c r="B514" s="7" t="s">
        <v>710</v>
      </c>
      <c r="C514" s="6">
        <v>3</v>
      </c>
      <c r="D514" s="6">
        <v>10</v>
      </c>
      <c r="E514" s="6">
        <v>9</v>
      </c>
      <c r="F514" s="6">
        <v>15</v>
      </c>
      <c r="G514" s="9">
        <v>45695.734212962998</v>
      </c>
      <c r="H514" s="9">
        <v>45696.067546296297</v>
      </c>
      <c r="I514" s="9">
        <v>45698.842546296299</v>
      </c>
      <c r="J514" s="9">
        <v>45699.092546296299</v>
      </c>
      <c r="K514" s="7" t="s">
        <v>207</v>
      </c>
      <c r="L514" s="10">
        <f t="shared" ref="L514:L577" si="32">IF(ISBLANK(H514),"",(H514-G514)*24)</f>
        <v>7.9999999991850927</v>
      </c>
      <c r="M514" s="10">
        <f t="shared" ref="M514:M577" si="33">IF(ISBLANK(I514),"",(I514-H514)*24)</f>
        <v>66.600000000034925</v>
      </c>
      <c r="N514" s="10">
        <f t="shared" ref="N514:N577" si="34">IF(ISBLANK(J514),"",(J514-G514)*24)</f>
        <v>80.599999999220017</v>
      </c>
      <c r="O514" s="7" t="str">
        <f>IF(ISBLANK(I514),"N/A",IF(((I514-H514)*24)&gt;INDEX(Dim_ServiceType!$E$2:$E$16,MATCH(E514,Dim_ServiceType!$A$2:$A$16,0)),"Yes","No"))</f>
        <v>No</v>
      </c>
      <c r="P514" s="7" t="str">
        <f t="shared" ref="P514:P577" si="35">IF(ISBLANK(H514),"Open (Unassigned)",IF(ISBLANK(I514),"In Progress",IF(ISBLANK(J514),"Resolved (Pending Closure)","Closed")))</f>
        <v>Closed</v>
      </c>
      <c r="Q514" s="6">
        <v>5</v>
      </c>
      <c r="R514" s="7" t="s">
        <v>196</v>
      </c>
    </row>
    <row r="515" spans="1:18" x14ac:dyDescent="0.35">
      <c r="A515" s="6">
        <v>514</v>
      </c>
      <c r="B515" s="7" t="s">
        <v>711</v>
      </c>
      <c r="C515" s="6">
        <v>6</v>
      </c>
      <c r="D515" s="6">
        <v>13</v>
      </c>
      <c r="E515" s="6">
        <v>12</v>
      </c>
      <c r="F515" s="6">
        <v>9</v>
      </c>
      <c r="G515" s="9">
        <v>45666.357048611098</v>
      </c>
      <c r="H515" s="9">
        <v>45666.523715277799</v>
      </c>
      <c r="I515" s="9">
        <v>45667.582048611097</v>
      </c>
      <c r="J515" s="9">
        <v>45667.748715277798</v>
      </c>
      <c r="K515" s="7" t="s">
        <v>207</v>
      </c>
      <c r="L515" s="10">
        <f t="shared" si="32"/>
        <v>4.0000000008149073</v>
      </c>
      <c r="M515" s="10">
        <f t="shared" si="33"/>
        <v>25.399999999150168</v>
      </c>
      <c r="N515" s="10">
        <f t="shared" si="34"/>
        <v>33.400000000779983</v>
      </c>
      <c r="O515" s="7" t="str">
        <f>IF(ISBLANK(I515),"N/A",IF(((I515-H515)*24)&gt;INDEX(Dim_ServiceType!$E$2:$E$16,MATCH(E515,Dim_ServiceType!$A$2:$A$16,0)),"Yes","No"))</f>
        <v>Yes</v>
      </c>
      <c r="P515" s="7" t="str">
        <f t="shared" si="35"/>
        <v>Closed</v>
      </c>
      <c r="Q515" s="6">
        <v>4</v>
      </c>
      <c r="R515" s="7" t="s">
        <v>196</v>
      </c>
    </row>
    <row r="516" spans="1:18" x14ac:dyDescent="0.35">
      <c r="A516" s="6">
        <v>515</v>
      </c>
      <c r="B516" s="7" t="s">
        <v>712</v>
      </c>
      <c r="C516" s="6">
        <v>15</v>
      </c>
      <c r="D516" s="6">
        <v>10</v>
      </c>
      <c r="E516" s="6">
        <v>11</v>
      </c>
      <c r="F516" s="6">
        <v>13</v>
      </c>
      <c r="G516" s="9">
        <v>45724.565636574102</v>
      </c>
      <c r="H516" s="9">
        <v>45725.065636574102</v>
      </c>
      <c r="I516" s="9">
        <v>45725.394803240699</v>
      </c>
      <c r="J516" s="9">
        <v>45725.436469907399</v>
      </c>
      <c r="K516" s="7" t="s">
        <v>198</v>
      </c>
      <c r="L516" s="10">
        <f t="shared" si="32"/>
        <v>12</v>
      </c>
      <c r="M516" s="10">
        <f t="shared" si="33"/>
        <v>7.8999999983352609</v>
      </c>
      <c r="N516" s="10">
        <f t="shared" si="34"/>
        <v>20.899999999150168</v>
      </c>
      <c r="O516" s="7" t="str">
        <f>IF(ISBLANK(I516),"N/A",IF(((I516-H516)*24)&gt;INDEX(Dim_ServiceType!$E$2:$E$16,MATCH(E516,Dim_ServiceType!$A$2:$A$16,0)),"Yes","No"))</f>
        <v>No</v>
      </c>
      <c r="P516" s="7" t="str">
        <f t="shared" si="35"/>
        <v>Closed</v>
      </c>
      <c r="Q516" s="6">
        <v>3</v>
      </c>
      <c r="R516" s="7" t="s">
        <v>196</v>
      </c>
    </row>
    <row r="517" spans="1:18" x14ac:dyDescent="0.35">
      <c r="A517" s="6">
        <v>516</v>
      </c>
      <c r="B517" s="7" t="s">
        <v>713</v>
      </c>
      <c r="C517" s="6">
        <v>2</v>
      </c>
      <c r="D517" s="6">
        <v>7</v>
      </c>
      <c r="E517" s="6">
        <v>10</v>
      </c>
      <c r="F517" s="6">
        <v>11</v>
      </c>
      <c r="G517" s="9">
        <v>45926.649027777799</v>
      </c>
      <c r="H517" s="9">
        <v>45926.899027777799</v>
      </c>
      <c r="I517" s="9">
        <v>45927.019861111097</v>
      </c>
      <c r="J517" s="9">
        <v>45927.186527777798</v>
      </c>
      <c r="K517" s="7" t="s">
        <v>207</v>
      </c>
      <c r="L517" s="10">
        <f t="shared" si="32"/>
        <v>6</v>
      </c>
      <c r="M517" s="10">
        <f t="shared" si="33"/>
        <v>2.8999999991501682</v>
      </c>
      <c r="N517" s="10">
        <f t="shared" si="34"/>
        <v>12.899999999965075</v>
      </c>
      <c r="O517" s="7" t="str">
        <f>IF(ISBLANK(I517),"N/A",IF(((I517-H517)*24)&gt;INDEX(Dim_ServiceType!$E$2:$E$16,MATCH(E517,Dim_ServiceType!$A$2:$A$16,0)),"Yes","No"))</f>
        <v>No</v>
      </c>
      <c r="P517" s="7" t="str">
        <f t="shared" si="35"/>
        <v>Closed</v>
      </c>
      <c r="Q517" s="6">
        <v>5</v>
      </c>
      <c r="R517" s="7" t="s">
        <v>196</v>
      </c>
    </row>
    <row r="518" spans="1:18" x14ac:dyDescent="0.35">
      <c r="A518" s="6">
        <v>517</v>
      </c>
      <c r="B518" s="7" t="s">
        <v>714</v>
      </c>
      <c r="C518" s="6">
        <v>13</v>
      </c>
      <c r="D518" s="6">
        <v>4</v>
      </c>
      <c r="E518" s="6">
        <v>6</v>
      </c>
      <c r="F518" s="6">
        <v>11</v>
      </c>
      <c r="G518" s="9">
        <v>45821.193530092598</v>
      </c>
      <c r="H518" s="9">
        <v>45821.318530092598</v>
      </c>
      <c r="I518" s="9">
        <v>45822.847696759301</v>
      </c>
      <c r="J518" s="9">
        <v>45822.868530092601</v>
      </c>
      <c r="K518" s="7" t="s">
        <v>207</v>
      </c>
      <c r="L518" s="10">
        <f t="shared" si="32"/>
        <v>3</v>
      </c>
      <c r="M518" s="10">
        <f t="shared" si="33"/>
        <v>36.700000000884756</v>
      </c>
      <c r="N518" s="10">
        <f t="shared" si="34"/>
        <v>40.200000000069849</v>
      </c>
      <c r="O518" s="7" t="str">
        <f>IF(ISBLANK(I518),"N/A",IF(((I518-H518)*24)&gt;INDEX(Dim_ServiceType!$E$2:$E$16,MATCH(E518,Dim_ServiceType!$A$2:$A$16,0)),"Yes","No"))</f>
        <v>No</v>
      </c>
      <c r="P518" s="7" t="str">
        <f t="shared" si="35"/>
        <v>Closed</v>
      </c>
      <c r="Q518" s="6">
        <v>5</v>
      </c>
      <c r="R518" s="7" t="s">
        <v>196</v>
      </c>
    </row>
    <row r="519" spans="1:18" x14ac:dyDescent="0.35">
      <c r="A519" s="6">
        <v>518</v>
      </c>
      <c r="B519" s="7" t="s">
        <v>715</v>
      </c>
      <c r="C519" s="6">
        <v>5</v>
      </c>
      <c r="D519" s="6">
        <v>9</v>
      </c>
      <c r="E519" s="6">
        <v>6</v>
      </c>
      <c r="F519" s="6">
        <v>3</v>
      </c>
      <c r="G519" s="9">
        <v>45707.312071759297</v>
      </c>
      <c r="H519" s="9">
        <v>45707.562071759297</v>
      </c>
      <c r="I519" s="9">
        <v>45713.124571759297</v>
      </c>
      <c r="J519" s="9">
        <v>45713.624571759297</v>
      </c>
      <c r="K519" s="7" t="s">
        <v>195</v>
      </c>
      <c r="L519" s="10">
        <f t="shared" si="32"/>
        <v>6</v>
      </c>
      <c r="M519" s="10">
        <f t="shared" si="33"/>
        <v>133.5</v>
      </c>
      <c r="N519" s="10">
        <f t="shared" si="34"/>
        <v>151.5</v>
      </c>
      <c r="O519" s="7" t="str">
        <f>IF(ISBLANK(I519),"N/A",IF(((I519-H519)*24)&gt;INDEX(Dim_ServiceType!$E$2:$E$16,MATCH(E519,Dim_ServiceType!$A$2:$A$16,0)),"Yes","No"))</f>
        <v>Yes</v>
      </c>
      <c r="P519" s="7" t="str">
        <f t="shared" si="35"/>
        <v>Closed</v>
      </c>
      <c r="Q519" s="6">
        <v>3</v>
      </c>
      <c r="R519" s="7" t="s">
        <v>196</v>
      </c>
    </row>
    <row r="520" spans="1:18" x14ac:dyDescent="0.35">
      <c r="A520" s="6">
        <v>519</v>
      </c>
      <c r="B520" s="7" t="s">
        <v>716</v>
      </c>
      <c r="C520" s="6">
        <v>1</v>
      </c>
      <c r="D520" s="6">
        <v>12</v>
      </c>
      <c r="E520" s="6">
        <v>1</v>
      </c>
      <c r="F520" s="6">
        <v>9</v>
      </c>
      <c r="G520" s="9">
        <v>45853.614999999998</v>
      </c>
      <c r="H520" s="9">
        <v>45854.114999999998</v>
      </c>
      <c r="I520" s="9">
        <v>45854.235833333303</v>
      </c>
      <c r="J520" s="9">
        <v>45855.235833333303</v>
      </c>
      <c r="K520" s="7" t="s">
        <v>207</v>
      </c>
      <c r="L520" s="10">
        <f t="shared" si="32"/>
        <v>12</v>
      </c>
      <c r="M520" s="10">
        <f t="shared" si="33"/>
        <v>2.8999999993247911</v>
      </c>
      <c r="N520" s="10">
        <f t="shared" si="34"/>
        <v>38.899999999324791</v>
      </c>
      <c r="O520" s="7" t="str">
        <f>IF(ISBLANK(I520),"N/A",IF(((I520-H520)*24)&gt;INDEX(Dim_ServiceType!$E$2:$E$16,MATCH(E520,Dim_ServiceType!$A$2:$A$16,0)),"Yes","No"))</f>
        <v>No</v>
      </c>
      <c r="P520" s="7" t="str">
        <f t="shared" si="35"/>
        <v>Closed</v>
      </c>
      <c r="Q520" s="6">
        <v>1</v>
      </c>
      <c r="R520" s="7" t="s">
        <v>196</v>
      </c>
    </row>
    <row r="521" spans="1:18" x14ac:dyDescent="0.35">
      <c r="A521" s="6">
        <v>520</v>
      </c>
      <c r="B521" s="7" t="s">
        <v>717</v>
      </c>
      <c r="C521" s="6">
        <v>6</v>
      </c>
      <c r="D521" s="6">
        <v>11</v>
      </c>
      <c r="E521" s="6">
        <v>4</v>
      </c>
      <c r="F521" s="6">
        <v>2</v>
      </c>
      <c r="G521" s="9">
        <v>45938.371990740699</v>
      </c>
      <c r="H521" s="9">
        <v>45938.4136574074</v>
      </c>
      <c r="I521" s="9"/>
      <c r="J521" s="9"/>
      <c r="K521" s="7" t="s">
        <v>198</v>
      </c>
      <c r="L521" s="10">
        <f t="shared" si="32"/>
        <v>1.0000000008149073</v>
      </c>
      <c r="M521" s="10" t="str">
        <f t="shared" si="33"/>
        <v/>
      </c>
      <c r="N521" s="10" t="str">
        <f t="shared" si="34"/>
        <v/>
      </c>
      <c r="O521" s="7" t="str">
        <f>IF(ISBLANK(I521),"N/A",IF(((I521-H521)*24)&gt;INDEX(Dim_ServiceType!$E$2:$E$16,MATCH(E521,Dim_ServiceType!$A$2:$A$16,0)),"Yes","No"))</f>
        <v>N/A</v>
      </c>
      <c r="P521" s="7" t="str">
        <f t="shared" si="35"/>
        <v>In Progress</v>
      </c>
      <c r="Q521" s="6"/>
      <c r="R521" s="7"/>
    </row>
    <row r="522" spans="1:18" x14ac:dyDescent="0.35">
      <c r="A522" s="6">
        <v>521</v>
      </c>
      <c r="B522" s="7" t="s">
        <v>718</v>
      </c>
      <c r="C522" s="6">
        <v>10</v>
      </c>
      <c r="D522" s="6">
        <v>9</v>
      </c>
      <c r="E522" s="6">
        <v>3</v>
      </c>
      <c r="F522" s="6">
        <v>10</v>
      </c>
      <c r="G522" s="9">
        <v>45869.347650463002</v>
      </c>
      <c r="H522" s="9">
        <v>45869.368483796301</v>
      </c>
      <c r="I522" s="9">
        <v>45870.097650463002</v>
      </c>
      <c r="J522" s="9">
        <v>45871.097650463002</v>
      </c>
      <c r="K522" s="7" t="s">
        <v>192</v>
      </c>
      <c r="L522" s="10">
        <f t="shared" si="32"/>
        <v>0.49999999918509275</v>
      </c>
      <c r="M522" s="10">
        <f t="shared" si="33"/>
        <v>17.500000000814907</v>
      </c>
      <c r="N522" s="10">
        <f t="shared" si="34"/>
        <v>42</v>
      </c>
      <c r="O522" s="7" t="str">
        <f>IF(ISBLANK(I522),"N/A",IF(((I522-H522)*24)&gt;INDEX(Dim_ServiceType!$E$2:$E$16,MATCH(E522,Dim_ServiceType!$A$2:$A$16,0)),"Yes","No"))</f>
        <v>Yes</v>
      </c>
      <c r="P522" s="7" t="str">
        <f t="shared" si="35"/>
        <v>Closed</v>
      </c>
      <c r="Q522" s="6">
        <v>4</v>
      </c>
      <c r="R522" s="7" t="s">
        <v>196</v>
      </c>
    </row>
    <row r="523" spans="1:18" x14ac:dyDescent="0.35">
      <c r="A523" s="6">
        <v>522</v>
      </c>
      <c r="B523" s="7" t="s">
        <v>719</v>
      </c>
      <c r="C523" s="6">
        <v>1</v>
      </c>
      <c r="D523" s="6">
        <v>7</v>
      </c>
      <c r="E523" s="6">
        <v>10</v>
      </c>
      <c r="F523" s="6">
        <v>3</v>
      </c>
      <c r="G523" s="9">
        <v>45924.080173611103</v>
      </c>
      <c r="H523" s="9">
        <v>45924.830173611103</v>
      </c>
      <c r="I523" s="9">
        <v>45925.042673611097</v>
      </c>
      <c r="J523" s="9">
        <v>45925.542673611097</v>
      </c>
      <c r="K523" s="7" t="s">
        <v>195</v>
      </c>
      <c r="L523" s="10">
        <f t="shared" si="32"/>
        <v>18</v>
      </c>
      <c r="M523" s="10">
        <f t="shared" si="33"/>
        <v>5.0999999998603016</v>
      </c>
      <c r="N523" s="10">
        <f t="shared" si="34"/>
        <v>35.099999999860302</v>
      </c>
      <c r="O523" s="7" t="str">
        <f>IF(ISBLANK(I523),"N/A",IF(((I523-H523)*24)&gt;INDEX(Dim_ServiceType!$E$2:$E$16,MATCH(E523,Dim_ServiceType!$A$2:$A$16,0)),"Yes","No"))</f>
        <v>No</v>
      </c>
      <c r="P523" s="7" t="str">
        <f t="shared" si="35"/>
        <v>Closed</v>
      </c>
      <c r="Q523" s="6">
        <v>5</v>
      </c>
      <c r="R523" s="7" t="s">
        <v>196</v>
      </c>
    </row>
    <row r="524" spans="1:18" x14ac:dyDescent="0.35">
      <c r="A524" s="6">
        <v>523</v>
      </c>
      <c r="B524" s="7" t="s">
        <v>720</v>
      </c>
      <c r="C524" s="6">
        <v>3</v>
      </c>
      <c r="D524" s="6">
        <v>7</v>
      </c>
      <c r="E524" s="6">
        <v>8</v>
      </c>
      <c r="F524" s="6">
        <v>3</v>
      </c>
      <c r="G524" s="9">
        <v>45779.239189814798</v>
      </c>
      <c r="H524" s="9">
        <v>45779.489189814798</v>
      </c>
      <c r="I524" s="9">
        <v>45779.568356481497</v>
      </c>
      <c r="J524" s="9">
        <v>45779.610023148198</v>
      </c>
      <c r="K524" s="7" t="s">
        <v>200</v>
      </c>
      <c r="L524" s="10">
        <f t="shared" si="32"/>
        <v>6</v>
      </c>
      <c r="M524" s="10">
        <f t="shared" si="33"/>
        <v>1.9000000007799827</v>
      </c>
      <c r="N524" s="10">
        <f t="shared" si="34"/>
        <v>8.9000000015948899</v>
      </c>
      <c r="O524" s="7" t="str">
        <f>IF(ISBLANK(I524),"N/A",IF(((I524-H524)*24)&gt;INDEX(Dim_ServiceType!$E$2:$E$16,MATCH(E524,Dim_ServiceType!$A$2:$A$16,0)),"Yes","No"))</f>
        <v>No</v>
      </c>
      <c r="P524" s="7" t="str">
        <f t="shared" si="35"/>
        <v>Closed</v>
      </c>
      <c r="Q524" s="6">
        <v>4</v>
      </c>
      <c r="R524" s="7" t="s">
        <v>196</v>
      </c>
    </row>
    <row r="525" spans="1:18" x14ac:dyDescent="0.35">
      <c r="A525" s="6">
        <v>524</v>
      </c>
      <c r="B525" s="7" t="s">
        <v>721</v>
      </c>
      <c r="C525" s="6">
        <v>4</v>
      </c>
      <c r="D525" s="6">
        <v>15</v>
      </c>
      <c r="E525" s="6">
        <v>12</v>
      </c>
      <c r="F525" s="6">
        <v>15</v>
      </c>
      <c r="G525" s="9">
        <v>45936.211122685199</v>
      </c>
      <c r="H525" s="9">
        <v>45936.3777893519</v>
      </c>
      <c r="I525" s="9">
        <v>45937.581956018497</v>
      </c>
      <c r="J525" s="9">
        <v>45937.831956018497</v>
      </c>
      <c r="K525" s="7" t="s">
        <v>200</v>
      </c>
      <c r="L525" s="10">
        <f t="shared" si="32"/>
        <v>4.0000000008149073</v>
      </c>
      <c r="M525" s="10">
        <f t="shared" si="33"/>
        <v>28.899999998335261</v>
      </c>
      <c r="N525" s="10">
        <f t="shared" si="34"/>
        <v>38.899999999150168</v>
      </c>
      <c r="O525" s="7" t="str">
        <f>IF(ISBLANK(I525),"N/A",IF(((I525-H525)*24)&gt;INDEX(Dim_ServiceType!$E$2:$E$16,MATCH(E525,Dim_ServiceType!$A$2:$A$16,0)),"Yes","No"))</f>
        <v>Yes</v>
      </c>
      <c r="P525" s="7" t="str">
        <f t="shared" si="35"/>
        <v>Closed</v>
      </c>
      <c r="Q525" s="6">
        <v>4</v>
      </c>
      <c r="R525" s="7" t="s">
        <v>193</v>
      </c>
    </row>
    <row r="526" spans="1:18" x14ac:dyDescent="0.35">
      <c r="A526" s="6">
        <v>525</v>
      </c>
      <c r="B526" s="7" t="s">
        <v>722</v>
      </c>
      <c r="C526" s="6">
        <v>9</v>
      </c>
      <c r="D526" s="6">
        <v>4</v>
      </c>
      <c r="E526" s="6">
        <v>8</v>
      </c>
      <c r="F526" s="6">
        <v>5</v>
      </c>
      <c r="G526" s="9">
        <v>45767.105879629598</v>
      </c>
      <c r="H526" s="9">
        <v>45767.855879629598</v>
      </c>
      <c r="I526" s="9">
        <v>45768.176712963003</v>
      </c>
      <c r="J526" s="9">
        <v>45768.218379629601</v>
      </c>
      <c r="K526" s="7" t="s">
        <v>200</v>
      </c>
      <c r="L526" s="10">
        <f t="shared" si="32"/>
        <v>18</v>
      </c>
      <c r="M526" s="10">
        <f t="shared" si="33"/>
        <v>7.7000000016996637</v>
      </c>
      <c r="N526" s="10">
        <f t="shared" si="34"/>
        <v>26.700000000069849</v>
      </c>
      <c r="O526" s="7" t="str">
        <f>IF(ISBLANK(I526),"N/A",IF(((I526-H526)*24)&gt;INDEX(Dim_ServiceType!$E$2:$E$16,MATCH(E526,Dim_ServiceType!$A$2:$A$16,0)),"Yes","No"))</f>
        <v>Yes</v>
      </c>
      <c r="P526" s="7" t="str">
        <f t="shared" si="35"/>
        <v>Closed</v>
      </c>
      <c r="Q526" s="6">
        <v>4</v>
      </c>
      <c r="R526" s="7" t="s">
        <v>196</v>
      </c>
    </row>
    <row r="527" spans="1:18" x14ac:dyDescent="0.35">
      <c r="A527" s="6">
        <v>526</v>
      </c>
      <c r="B527" s="7" t="s">
        <v>723</v>
      </c>
      <c r="C527" s="6">
        <v>13</v>
      </c>
      <c r="D527" s="6">
        <v>9</v>
      </c>
      <c r="E527" s="6">
        <v>5</v>
      </c>
      <c r="F527" s="6">
        <v>9</v>
      </c>
      <c r="G527" s="9">
        <v>45856.630405092597</v>
      </c>
      <c r="H527" s="9">
        <v>45856.713738425897</v>
      </c>
      <c r="I527" s="9">
        <v>45857.172071759298</v>
      </c>
      <c r="J527" s="9">
        <v>45857.672071759298</v>
      </c>
      <c r="K527" s="7" t="s">
        <v>192</v>
      </c>
      <c r="L527" s="10">
        <f t="shared" si="32"/>
        <v>1.9999999991850927</v>
      </c>
      <c r="M527" s="10">
        <f t="shared" si="33"/>
        <v>11.000000001629815</v>
      </c>
      <c r="N527" s="10">
        <f t="shared" si="34"/>
        <v>25.000000000814907</v>
      </c>
      <c r="O527" s="7" t="str">
        <f>IF(ISBLANK(I527),"N/A",IF(((I527-H527)*24)&gt;INDEX(Dim_ServiceType!$E$2:$E$16,MATCH(E527,Dim_ServiceType!$A$2:$A$16,0)),"Yes","No"))</f>
        <v>No</v>
      </c>
      <c r="P527" s="7" t="str">
        <f t="shared" si="35"/>
        <v>Closed</v>
      </c>
      <c r="Q527" s="6">
        <v>4</v>
      </c>
      <c r="R527" s="7" t="s">
        <v>196</v>
      </c>
    </row>
    <row r="528" spans="1:18" x14ac:dyDescent="0.35">
      <c r="A528" s="6">
        <v>527</v>
      </c>
      <c r="B528" s="7" t="s">
        <v>724</v>
      </c>
      <c r="C528" s="6">
        <v>14</v>
      </c>
      <c r="D528" s="6">
        <v>11</v>
      </c>
      <c r="E528" s="6">
        <v>6</v>
      </c>
      <c r="F528" s="6">
        <v>11</v>
      </c>
      <c r="G528" s="9">
        <v>45893.682627314804</v>
      </c>
      <c r="H528" s="9">
        <v>45894.432627314804</v>
      </c>
      <c r="I528" s="9">
        <v>45896.995127314804</v>
      </c>
      <c r="J528" s="9">
        <v>45897.995127314804</v>
      </c>
      <c r="K528" s="7" t="s">
        <v>198</v>
      </c>
      <c r="L528" s="10">
        <f t="shared" si="32"/>
        <v>18</v>
      </c>
      <c r="M528" s="10">
        <f t="shared" si="33"/>
        <v>61.5</v>
      </c>
      <c r="N528" s="10">
        <f t="shared" si="34"/>
        <v>103.5</v>
      </c>
      <c r="O528" s="7" t="str">
        <f>IF(ISBLANK(I528),"N/A",IF(((I528-H528)*24)&gt;INDEX(Dim_ServiceType!$E$2:$E$16,MATCH(E528,Dim_ServiceType!$A$2:$A$16,0)),"Yes","No"))</f>
        <v>Yes</v>
      </c>
      <c r="P528" s="7" t="str">
        <f t="shared" si="35"/>
        <v>Closed</v>
      </c>
      <c r="Q528" s="6">
        <v>1</v>
      </c>
      <c r="R528" s="7" t="s">
        <v>196</v>
      </c>
    </row>
    <row r="529" spans="1:18" x14ac:dyDescent="0.35">
      <c r="A529" s="6">
        <v>528</v>
      </c>
      <c r="B529" s="7" t="s">
        <v>725</v>
      </c>
      <c r="C529" s="6">
        <v>12</v>
      </c>
      <c r="D529" s="6">
        <v>1</v>
      </c>
      <c r="E529" s="6">
        <v>9</v>
      </c>
      <c r="F529" s="6">
        <v>3</v>
      </c>
      <c r="G529" s="9">
        <v>45701.475717592599</v>
      </c>
      <c r="H529" s="9">
        <v>45701.809050925898</v>
      </c>
      <c r="I529" s="9">
        <v>45708.492384259298</v>
      </c>
      <c r="J529" s="9">
        <v>45709.492384259298</v>
      </c>
      <c r="K529" s="7" t="s">
        <v>200</v>
      </c>
      <c r="L529" s="10">
        <f t="shared" si="32"/>
        <v>7.9999999991850927</v>
      </c>
      <c r="M529" s="10">
        <f t="shared" si="33"/>
        <v>160.40000000159489</v>
      </c>
      <c r="N529" s="10">
        <f t="shared" si="34"/>
        <v>192.40000000077998</v>
      </c>
      <c r="O529" s="7" t="str">
        <f>IF(ISBLANK(I529),"N/A",IF(((I529-H529)*24)&gt;INDEX(Dim_ServiceType!$E$2:$E$16,MATCH(E529,Dim_ServiceType!$A$2:$A$16,0)),"Yes","No"))</f>
        <v>Yes</v>
      </c>
      <c r="P529" s="7" t="str">
        <f t="shared" si="35"/>
        <v>Closed</v>
      </c>
      <c r="Q529" s="6">
        <v>5</v>
      </c>
      <c r="R529" s="7" t="s">
        <v>196</v>
      </c>
    </row>
    <row r="530" spans="1:18" x14ac:dyDescent="0.35">
      <c r="A530" s="6">
        <v>529</v>
      </c>
      <c r="B530" s="7" t="s">
        <v>726</v>
      </c>
      <c r="C530" s="6">
        <v>8</v>
      </c>
      <c r="D530" s="6">
        <v>15</v>
      </c>
      <c r="E530" s="6">
        <v>9</v>
      </c>
      <c r="F530" s="6">
        <v>1</v>
      </c>
      <c r="G530" s="9">
        <v>45855.1574189815</v>
      </c>
      <c r="H530" s="9">
        <v>45855.199085648201</v>
      </c>
      <c r="I530" s="9">
        <v>45858.486585648199</v>
      </c>
      <c r="J530" s="9">
        <v>45859.486585648199</v>
      </c>
      <c r="K530" s="7" t="s">
        <v>207</v>
      </c>
      <c r="L530" s="10">
        <f t="shared" si="32"/>
        <v>1.0000000008149073</v>
      </c>
      <c r="M530" s="10">
        <f t="shared" si="33"/>
        <v>78.899999999965075</v>
      </c>
      <c r="N530" s="10">
        <f t="shared" si="34"/>
        <v>103.90000000077998</v>
      </c>
      <c r="O530" s="7" t="str">
        <f>IF(ISBLANK(I530),"N/A",IF(((I530-H530)*24)&gt;INDEX(Dim_ServiceType!$E$2:$E$16,MATCH(E530,Dim_ServiceType!$A$2:$A$16,0)),"Yes","No"))</f>
        <v>Yes</v>
      </c>
      <c r="P530" s="7" t="str">
        <f t="shared" si="35"/>
        <v>Closed</v>
      </c>
      <c r="Q530" s="6">
        <v>5</v>
      </c>
      <c r="R530" s="7" t="s">
        <v>196</v>
      </c>
    </row>
    <row r="531" spans="1:18" x14ac:dyDescent="0.35">
      <c r="A531" s="6">
        <v>530</v>
      </c>
      <c r="B531" s="7" t="s">
        <v>727</v>
      </c>
      <c r="C531" s="6">
        <v>14</v>
      </c>
      <c r="D531" s="6">
        <v>8</v>
      </c>
      <c r="E531" s="6">
        <v>14</v>
      </c>
      <c r="F531" s="6">
        <v>12</v>
      </c>
      <c r="G531" s="9">
        <v>45970.982048611098</v>
      </c>
      <c r="H531" s="9">
        <v>45971.107048611098</v>
      </c>
      <c r="I531" s="9">
        <v>45971.311215277798</v>
      </c>
      <c r="J531" s="9">
        <v>45971.477881944498</v>
      </c>
      <c r="K531" s="7" t="s">
        <v>198</v>
      </c>
      <c r="L531" s="10">
        <f t="shared" si="32"/>
        <v>3</v>
      </c>
      <c r="M531" s="10">
        <f t="shared" si="33"/>
        <v>4.9000000007799827</v>
      </c>
      <c r="N531" s="10">
        <f t="shared" si="34"/>
        <v>11.90000000159489</v>
      </c>
      <c r="O531" s="7" t="str">
        <f>IF(ISBLANK(I531),"N/A",IF(((I531-H531)*24)&gt;INDEX(Dim_ServiceType!$E$2:$E$16,MATCH(E531,Dim_ServiceType!$A$2:$A$16,0)),"Yes","No"))</f>
        <v>No</v>
      </c>
      <c r="P531" s="7" t="str">
        <f t="shared" si="35"/>
        <v>Closed</v>
      </c>
      <c r="Q531" s="6">
        <v>3</v>
      </c>
      <c r="R531" s="7" t="s">
        <v>196</v>
      </c>
    </row>
    <row r="532" spans="1:18" x14ac:dyDescent="0.35">
      <c r="A532" s="6">
        <v>531</v>
      </c>
      <c r="B532" s="7" t="s">
        <v>728</v>
      </c>
      <c r="C532" s="6">
        <v>12</v>
      </c>
      <c r="D532" s="6">
        <v>12</v>
      </c>
      <c r="E532" s="6">
        <v>7</v>
      </c>
      <c r="F532" s="6">
        <v>14</v>
      </c>
      <c r="G532" s="9">
        <v>45712.416689814803</v>
      </c>
      <c r="H532" s="9">
        <v>45713.416689814803</v>
      </c>
      <c r="I532" s="9">
        <v>45714.091689814799</v>
      </c>
      <c r="J532" s="9">
        <v>45714.591689814799</v>
      </c>
      <c r="K532" s="7" t="s">
        <v>198</v>
      </c>
      <c r="L532" s="10">
        <f t="shared" si="32"/>
        <v>24</v>
      </c>
      <c r="M532" s="10">
        <f t="shared" si="33"/>
        <v>16.199999999895226</v>
      </c>
      <c r="N532" s="10">
        <f t="shared" si="34"/>
        <v>52.199999999895226</v>
      </c>
      <c r="O532" s="7" t="str">
        <f>IF(ISBLANK(I532),"N/A",IF(((I532-H532)*24)&gt;INDEX(Dim_ServiceType!$E$2:$E$16,MATCH(E532,Dim_ServiceType!$A$2:$A$16,0)),"Yes","No"))</f>
        <v>No</v>
      </c>
      <c r="P532" s="7" t="str">
        <f t="shared" si="35"/>
        <v>Closed</v>
      </c>
      <c r="Q532" s="6">
        <v>2</v>
      </c>
      <c r="R532" s="7" t="s">
        <v>196</v>
      </c>
    </row>
    <row r="533" spans="1:18" x14ac:dyDescent="0.35">
      <c r="A533" s="6">
        <v>532</v>
      </c>
      <c r="B533" s="7" t="s">
        <v>729</v>
      </c>
      <c r="C533" s="6">
        <v>8</v>
      </c>
      <c r="D533" s="6">
        <v>5</v>
      </c>
      <c r="E533" s="6">
        <v>5</v>
      </c>
      <c r="F533" s="6">
        <v>6</v>
      </c>
      <c r="G533" s="9">
        <v>45713.540208333303</v>
      </c>
      <c r="H533" s="9">
        <v>45713.706875000003</v>
      </c>
      <c r="I533" s="9">
        <v>45714.065208333297</v>
      </c>
      <c r="J533" s="9">
        <v>45714.231874999998</v>
      </c>
      <c r="K533" s="7" t="s">
        <v>198</v>
      </c>
      <c r="L533" s="10">
        <f t="shared" si="32"/>
        <v>4.0000000008149073</v>
      </c>
      <c r="M533" s="10">
        <f t="shared" si="33"/>
        <v>8.5999999990453944</v>
      </c>
      <c r="N533" s="10">
        <f t="shared" si="34"/>
        <v>16.600000000675209</v>
      </c>
      <c r="O533" s="7" t="str">
        <f>IF(ISBLANK(I533),"N/A",IF(((I533-H533)*24)&gt;INDEX(Dim_ServiceType!$E$2:$E$16,MATCH(E533,Dim_ServiceType!$A$2:$A$16,0)),"Yes","No"))</f>
        <v>No</v>
      </c>
      <c r="P533" s="7" t="str">
        <f t="shared" si="35"/>
        <v>Closed</v>
      </c>
      <c r="Q533" s="6">
        <v>3</v>
      </c>
      <c r="R533" s="7" t="s">
        <v>196</v>
      </c>
    </row>
    <row r="534" spans="1:18" x14ac:dyDescent="0.35">
      <c r="A534" s="6">
        <v>533</v>
      </c>
      <c r="B534" s="7" t="s">
        <v>730</v>
      </c>
      <c r="C534" s="6">
        <v>3</v>
      </c>
      <c r="D534" s="6">
        <v>5</v>
      </c>
      <c r="E534" s="6">
        <v>7</v>
      </c>
      <c r="F534" s="6">
        <v>8</v>
      </c>
      <c r="G534" s="9">
        <v>45877.065983796303</v>
      </c>
      <c r="H534" s="9">
        <v>45877.107650462996</v>
      </c>
      <c r="I534" s="9">
        <v>45877.540983796302</v>
      </c>
      <c r="J534" s="9">
        <v>45877.561817129601</v>
      </c>
      <c r="K534" s="7" t="s">
        <v>198</v>
      </c>
      <c r="L534" s="10">
        <f t="shared" si="32"/>
        <v>1.0000000006402843</v>
      </c>
      <c r="M534" s="10">
        <f t="shared" si="33"/>
        <v>10.399999999324791</v>
      </c>
      <c r="N534" s="10">
        <f t="shared" si="34"/>
        <v>11.899999999150168</v>
      </c>
      <c r="O534" s="7" t="str">
        <f>IF(ISBLANK(I534),"N/A",IF(((I534-H534)*24)&gt;INDEX(Dim_ServiceType!$E$2:$E$16,MATCH(E534,Dim_ServiceType!$A$2:$A$16,0)),"Yes","No"))</f>
        <v>No</v>
      </c>
      <c r="P534" s="7" t="str">
        <f t="shared" si="35"/>
        <v>Closed</v>
      </c>
      <c r="Q534" s="6">
        <v>4</v>
      </c>
      <c r="R534" s="7" t="s">
        <v>196</v>
      </c>
    </row>
    <row r="535" spans="1:18" x14ac:dyDescent="0.35">
      <c r="A535" s="6">
        <v>534</v>
      </c>
      <c r="B535" s="7" t="s">
        <v>731</v>
      </c>
      <c r="C535" s="6">
        <v>15</v>
      </c>
      <c r="D535" s="6">
        <v>13</v>
      </c>
      <c r="E535" s="6">
        <v>5</v>
      </c>
      <c r="F535" s="6">
        <v>11</v>
      </c>
      <c r="G535" s="9">
        <v>45688.4551967593</v>
      </c>
      <c r="H535" s="9">
        <v>45688.476030092599</v>
      </c>
      <c r="I535" s="9">
        <v>45688.717696759297</v>
      </c>
      <c r="J535" s="9">
        <v>45689.717696759297</v>
      </c>
      <c r="K535" s="7" t="s">
        <v>207</v>
      </c>
      <c r="L535" s="10">
        <f t="shared" si="32"/>
        <v>0.49999999918509275</v>
      </c>
      <c r="M535" s="10">
        <f t="shared" si="33"/>
        <v>5.8000000007450581</v>
      </c>
      <c r="N535" s="10">
        <f t="shared" si="34"/>
        <v>30.299999999930151</v>
      </c>
      <c r="O535" s="7" t="str">
        <f>IF(ISBLANK(I535),"N/A",IF(((I535-H535)*24)&gt;INDEX(Dim_ServiceType!$E$2:$E$16,MATCH(E535,Dim_ServiceType!$A$2:$A$16,0)),"Yes","No"))</f>
        <v>No</v>
      </c>
      <c r="P535" s="7" t="str">
        <f t="shared" si="35"/>
        <v>Closed</v>
      </c>
      <c r="Q535" s="6">
        <v>5</v>
      </c>
      <c r="R535" s="7" t="s">
        <v>196</v>
      </c>
    </row>
    <row r="536" spans="1:18" x14ac:dyDescent="0.35">
      <c r="A536" s="6">
        <v>535</v>
      </c>
      <c r="B536" s="7" t="s">
        <v>732</v>
      </c>
      <c r="C536" s="6">
        <v>4</v>
      </c>
      <c r="D536" s="6">
        <v>7</v>
      </c>
      <c r="E536" s="6">
        <v>6</v>
      </c>
      <c r="F536" s="6">
        <v>7</v>
      </c>
      <c r="G536" s="9">
        <v>45685.172395833302</v>
      </c>
      <c r="H536" s="9">
        <v>45685.422395833302</v>
      </c>
      <c r="I536" s="9">
        <v>45686.126562500001</v>
      </c>
      <c r="J536" s="9">
        <v>45686.376562500001</v>
      </c>
      <c r="K536" s="7" t="s">
        <v>192</v>
      </c>
      <c r="L536" s="10">
        <f t="shared" si="32"/>
        <v>6</v>
      </c>
      <c r="M536" s="10">
        <f t="shared" si="33"/>
        <v>16.900000000779983</v>
      </c>
      <c r="N536" s="10">
        <f t="shared" si="34"/>
        <v>28.900000000779983</v>
      </c>
      <c r="O536" s="7" t="str">
        <f>IF(ISBLANK(I536),"N/A",IF(((I536-H536)*24)&gt;INDEX(Dim_ServiceType!$E$2:$E$16,MATCH(E536,Dim_ServiceType!$A$2:$A$16,0)),"Yes","No"))</f>
        <v>No</v>
      </c>
      <c r="P536" s="7" t="str">
        <f t="shared" si="35"/>
        <v>Closed</v>
      </c>
      <c r="Q536" s="6">
        <v>2</v>
      </c>
      <c r="R536" s="7" t="s">
        <v>196</v>
      </c>
    </row>
    <row r="537" spans="1:18" x14ac:dyDescent="0.35">
      <c r="A537" s="6">
        <v>536</v>
      </c>
      <c r="B537" s="7" t="s">
        <v>733</v>
      </c>
      <c r="C537" s="6">
        <v>12</v>
      </c>
      <c r="D537" s="6">
        <v>2</v>
      </c>
      <c r="E537" s="6">
        <v>14</v>
      </c>
      <c r="F537" s="6">
        <v>7</v>
      </c>
      <c r="G537" s="9">
        <v>45835.632430555597</v>
      </c>
      <c r="H537" s="9">
        <v>45836.382430555597</v>
      </c>
      <c r="I537" s="9">
        <v>45837.486597222203</v>
      </c>
      <c r="J537" s="9">
        <v>45837.736597222203</v>
      </c>
      <c r="K537" s="7" t="s">
        <v>207</v>
      </c>
      <c r="L537" s="10">
        <f t="shared" si="32"/>
        <v>18</v>
      </c>
      <c r="M537" s="10">
        <f t="shared" si="33"/>
        <v>26.499999998544808</v>
      </c>
      <c r="N537" s="10">
        <f t="shared" si="34"/>
        <v>50.499999998544808</v>
      </c>
      <c r="O537" s="7" t="str">
        <f>IF(ISBLANK(I537),"N/A",IF(((I537-H537)*24)&gt;INDEX(Dim_ServiceType!$E$2:$E$16,MATCH(E537,Dim_ServiceType!$A$2:$A$16,0)),"Yes","No"))</f>
        <v>Yes</v>
      </c>
      <c r="P537" s="7" t="str">
        <f t="shared" si="35"/>
        <v>Closed</v>
      </c>
      <c r="Q537" s="6">
        <v>3</v>
      </c>
      <c r="R537" s="7" t="s">
        <v>196</v>
      </c>
    </row>
    <row r="538" spans="1:18" x14ac:dyDescent="0.35">
      <c r="A538" s="6">
        <v>537</v>
      </c>
      <c r="B538" s="7" t="s">
        <v>734</v>
      </c>
      <c r="C538" s="6">
        <v>7</v>
      </c>
      <c r="D538" s="6">
        <v>6</v>
      </c>
      <c r="E538" s="6">
        <v>11</v>
      </c>
      <c r="F538" s="6">
        <v>11</v>
      </c>
      <c r="G538" s="9">
        <v>45976.9379513889</v>
      </c>
      <c r="H538" s="9">
        <v>45976.9796180556</v>
      </c>
      <c r="I538" s="9">
        <v>45977.217118055603</v>
      </c>
      <c r="J538" s="9">
        <v>45977.717118055603</v>
      </c>
      <c r="K538" s="7" t="s">
        <v>207</v>
      </c>
      <c r="L538" s="10">
        <f t="shared" si="32"/>
        <v>1.0000000008149073</v>
      </c>
      <c r="M538" s="10">
        <f t="shared" si="33"/>
        <v>5.7000000000698492</v>
      </c>
      <c r="N538" s="10">
        <f t="shared" si="34"/>
        <v>18.700000000884756</v>
      </c>
      <c r="O538" s="7" t="str">
        <f>IF(ISBLANK(I538),"N/A",IF(((I538-H538)*24)&gt;INDEX(Dim_ServiceType!$E$2:$E$16,MATCH(E538,Dim_ServiceType!$A$2:$A$16,0)),"Yes","No"))</f>
        <v>No</v>
      </c>
      <c r="P538" s="7" t="str">
        <f t="shared" si="35"/>
        <v>Closed</v>
      </c>
      <c r="Q538" s="6">
        <v>3</v>
      </c>
      <c r="R538" s="7" t="s">
        <v>196</v>
      </c>
    </row>
    <row r="539" spans="1:18" x14ac:dyDescent="0.35">
      <c r="A539" s="6">
        <v>538</v>
      </c>
      <c r="B539" s="7" t="s">
        <v>735</v>
      </c>
      <c r="C539" s="6">
        <v>2</v>
      </c>
      <c r="D539" s="6">
        <v>14</v>
      </c>
      <c r="E539" s="6">
        <v>7</v>
      </c>
      <c r="F539" s="6">
        <v>3</v>
      </c>
      <c r="G539" s="9">
        <v>45996.266597222202</v>
      </c>
      <c r="H539" s="9">
        <v>45996.516597222202</v>
      </c>
      <c r="I539" s="9">
        <v>45997.437430555598</v>
      </c>
      <c r="J539" s="9">
        <v>45997.937430555598</v>
      </c>
      <c r="K539" s="7" t="s">
        <v>198</v>
      </c>
      <c r="L539" s="10">
        <f t="shared" si="32"/>
        <v>6</v>
      </c>
      <c r="M539" s="10">
        <f t="shared" si="33"/>
        <v>22.100000001490116</v>
      </c>
      <c r="N539" s="10">
        <f t="shared" si="34"/>
        <v>40.100000001490116</v>
      </c>
      <c r="O539" s="7" t="str">
        <f>IF(ISBLANK(I539),"N/A",IF(((I539-H539)*24)&gt;INDEX(Dim_ServiceType!$E$2:$E$16,MATCH(E539,Dim_ServiceType!$A$2:$A$16,0)),"Yes","No"))</f>
        <v>No</v>
      </c>
      <c r="P539" s="7" t="str">
        <f t="shared" si="35"/>
        <v>Closed</v>
      </c>
      <c r="Q539" s="6">
        <v>5</v>
      </c>
      <c r="R539" s="7" t="s">
        <v>196</v>
      </c>
    </row>
    <row r="540" spans="1:18" x14ac:dyDescent="0.35">
      <c r="A540" s="6">
        <v>539</v>
      </c>
      <c r="B540" s="7" t="s">
        <v>736</v>
      </c>
      <c r="C540" s="6">
        <v>11</v>
      </c>
      <c r="D540" s="6">
        <v>4</v>
      </c>
      <c r="E540" s="6">
        <v>9</v>
      </c>
      <c r="F540" s="6">
        <v>11</v>
      </c>
      <c r="G540" s="9">
        <v>45780.879502314798</v>
      </c>
      <c r="H540" s="9">
        <v>45781.004502314798</v>
      </c>
      <c r="I540" s="9">
        <v>45783.583668981497</v>
      </c>
      <c r="J540" s="9">
        <v>45783.750335648198</v>
      </c>
      <c r="K540" s="7" t="s">
        <v>195</v>
      </c>
      <c r="L540" s="10">
        <f t="shared" si="32"/>
        <v>3</v>
      </c>
      <c r="M540" s="10">
        <f t="shared" si="33"/>
        <v>61.900000000779983</v>
      </c>
      <c r="N540" s="10">
        <f t="shared" si="34"/>
        <v>68.90000000159489</v>
      </c>
      <c r="O540" s="7" t="str">
        <f>IF(ISBLANK(I540),"N/A",IF(((I540-H540)*24)&gt;INDEX(Dim_ServiceType!$E$2:$E$16,MATCH(E540,Dim_ServiceType!$A$2:$A$16,0)),"Yes","No"))</f>
        <v>No</v>
      </c>
      <c r="P540" s="7" t="str">
        <f t="shared" si="35"/>
        <v>Closed</v>
      </c>
      <c r="Q540" s="6">
        <v>5</v>
      </c>
      <c r="R540" s="7" t="s">
        <v>196</v>
      </c>
    </row>
    <row r="541" spans="1:18" x14ac:dyDescent="0.35">
      <c r="A541" s="6">
        <v>540</v>
      </c>
      <c r="B541" s="7" t="s">
        <v>737</v>
      </c>
      <c r="C541" s="6">
        <v>9</v>
      </c>
      <c r="D541" s="6">
        <v>1</v>
      </c>
      <c r="E541" s="6">
        <v>9</v>
      </c>
      <c r="F541" s="6">
        <v>2</v>
      </c>
      <c r="G541" s="9">
        <v>45710.280949074098</v>
      </c>
      <c r="H541" s="9">
        <v>45710.301782407398</v>
      </c>
      <c r="I541" s="9">
        <v>45713.176782407398</v>
      </c>
      <c r="J541" s="9">
        <v>45713.260115740697</v>
      </c>
      <c r="K541" s="7" t="s">
        <v>200</v>
      </c>
      <c r="L541" s="10">
        <f t="shared" si="32"/>
        <v>0.49999999918509275</v>
      </c>
      <c r="M541" s="10">
        <f t="shared" si="33"/>
        <v>69</v>
      </c>
      <c r="N541" s="10">
        <f t="shared" si="34"/>
        <v>71.499999998370185</v>
      </c>
      <c r="O541" s="7" t="str">
        <f>IF(ISBLANK(I541),"N/A",IF(((I541-H541)*24)&gt;INDEX(Dim_ServiceType!$E$2:$E$16,MATCH(E541,Dim_ServiceType!$A$2:$A$16,0)),"Yes","No"))</f>
        <v>No</v>
      </c>
      <c r="P541" s="7" t="str">
        <f t="shared" si="35"/>
        <v>Closed</v>
      </c>
      <c r="Q541" s="6">
        <v>5</v>
      </c>
      <c r="R541" s="7" t="s">
        <v>196</v>
      </c>
    </row>
    <row r="542" spans="1:18" x14ac:dyDescent="0.35">
      <c r="A542" s="6">
        <v>541</v>
      </c>
      <c r="B542" s="7" t="s">
        <v>738</v>
      </c>
      <c r="C542" s="6">
        <v>1</v>
      </c>
      <c r="D542" s="6">
        <v>4</v>
      </c>
      <c r="E542" s="6">
        <v>11</v>
      </c>
      <c r="F542" s="6">
        <v>10</v>
      </c>
      <c r="G542" s="9">
        <v>45969.685092592597</v>
      </c>
      <c r="H542" s="9">
        <v>45969.935092592597</v>
      </c>
      <c r="I542" s="9">
        <v>45971.347592592603</v>
      </c>
      <c r="J542" s="9">
        <v>45971.368425925903</v>
      </c>
      <c r="K542" s="7" t="s">
        <v>200</v>
      </c>
      <c r="L542" s="10">
        <f t="shared" si="32"/>
        <v>6</v>
      </c>
      <c r="M542" s="10">
        <f t="shared" si="33"/>
        <v>33.900000000139698</v>
      </c>
      <c r="N542" s="10">
        <f t="shared" si="34"/>
        <v>40.399999999324791</v>
      </c>
      <c r="O542" s="7" t="str">
        <f>IF(ISBLANK(I542),"N/A",IF(((I542-H542)*24)&gt;INDEX(Dim_ServiceType!$E$2:$E$16,MATCH(E542,Dim_ServiceType!$A$2:$A$16,0)),"Yes","No"))</f>
        <v>Yes</v>
      </c>
      <c r="P542" s="7" t="str">
        <f t="shared" si="35"/>
        <v>Closed</v>
      </c>
      <c r="Q542" s="6">
        <v>3</v>
      </c>
      <c r="R542" s="7" t="s">
        <v>196</v>
      </c>
    </row>
    <row r="543" spans="1:18" x14ac:dyDescent="0.35">
      <c r="A543" s="6">
        <v>542</v>
      </c>
      <c r="B543" s="7" t="s">
        <v>739</v>
      </c>
      <c r="C543" s="6">
        <v>6</v>
      </c>
      <c r="D543" s="6">
        <v>2</v>
      </c>
      <c r="E543" s="6">
        <v>13</v>
      </c>
      <c r="F543" s="6">
        <v>7</v>
      </c>
      <c r="G543" s="9">
        <v>45800.4628240741</v>
      </c>
      <c r="H543" s="9">
        <v>45800.5878240741</v>
      </c>
      <c r="I543" s="9">
        <v>45802.996157407397</v>
      </c>
      <c r="J543" s="9">
        <v>45803.996157407397</v>
      </c>
      <c r="K543" s="7" t="s">
        <v>207</v>
      </c>
      <c r="L543" s="10">
        <f t="shared" si="32"/>
        <v>3</v>
      </c>
      <c r="M543" s="10">
        <f t="shared" si="33"/>
        <v>57.799999999115244</v>
      </c>
      <c r="N543" s="10">
        <f t="shared" si="34"/>
        <v>84.799999999115244</v>
      </c>
      <c r="O543" s="7" t="str">
        <f>IF(ISBLANK(I543),"N/A",IF(((I543-H543)*24)&gt;INDEX(Dim_ServiceType!$E$2:$E$16,MATCH(E543,Dim_ServiceType!$A$2:$A$16,0)),"Yes","No"))</f>
        <v>Yes</v>
      </c>
      <c r="P543" s="7" t="str">
        <f t="shared" si="35"/>
        <v>Closed</v>
      </c>
      <c r="Q543" s="6">
        <v>1</v>
      </c>
      <c r="R543" s="7" t="s">
        <v>196</v>
      </c>
    </row>
    <row r="544" spans="1:18" x14ac:dyDescent="0.35">
      <c r="A544" s="6">
        <v>543</v>
      </c>
      <c r="B544" s="7" t="s">
        <v>740</v>
      </c>
      <c r="C544" s="6">
        <v>3</v>
      </c>
      <c r="D544" s="6">
        <v>15</v>
      </c>
      <c r="E544" s="6">
        <v>13</v>
      </c>
      <c r="F544" s="6">
        <v>2</v>
      </c>
      <c r="G544" s="9">
        <v>45814.377916666701</v>
      </c>
      <c r="H544" s="9">
        <v>45814.46125</v>
      </c>
      <c r="I544" s="9">
        <v>45815.323750000003</v>
      </c>
      <c r="J544" s="9">
        <v>45816.323750000003</v>
      </c>
      <c r="K544" s="7" t="s">
        <v>192</v>
      </c>
      <c r="L544" s="10">
        <f t="shared" si="32"/>
        <v>1.9999999991850927</v>
      </c>
      <c r="M544" s="10">
        <f t="shared" si="33"/>
        <v>20.700000000069849</v>
      </c>
      <c r="N544" s="10">
        <f t="shared" si="34"/>
        <v>46.699999999254942</v>
      </c>
      <c r="O544" s="7" t="str">
        <f>IF(ISBLANK(I544),"N/A",IF(((I544-H544)*24)&gt;INDEX(Dim_ServiceType!$E$2:$E$16,MATCH(E544,Dim_ServiceType!$A$2:$A$16,0)),"Yes","No"))</f>
        <v>No</v>
      </c>
      <c r="P544" s="7" t="str">
        <f t="shared" si="35"/>
        <v>Closed</v>
      </c>
      <c r="Q544" s="6">
        <v>3</v>
      </c>
      <c r="R544" s="7" t="s">
        <v>193</v>
      </c>
    </row>
    <row r="545" spans="1:18" x14ac:dyDescent="0.35">
      <c r="A545" s="6">
        <v>544</v>
      </c>
      <c r="B545" s="7" t="s">
        <v>741</v>
      </c>
      <c r="C545" s="6">
        <v>15</v>
      </c>
      <c r="D545" s="6">
        <v>11</v>
      </c>
      <c r="E545" s="6">
        <v>2</v>
      </c>
      <c r="F545" s="6">
        <v>10</v>
      </c>
      <c r="G545" s="9">
        <v>45682.057083333297</v>
      </c>
      <c r="H545" s="9">
        <v>45682.140416666698</v>
      </c>
      <c r="I545" s="9"/>
      <c r="J545" s="9"/>
      <c r="K545" s="7" t="s">
        <v>207</v>
      </c>
      <c r="L545" s="10">
        <f t="shared" si="32"/>
        <v>2.0000000016298145</v>
      </c>
      <c r="M545" s="10" t="str">
        <f t="shared" si="33"/>
        <v/>
      </c>
      <c r="N545" s="10" t="str">
        <f t="shared" si="34"/>
        <v/>
      </c>
      <c r="O545" s="7" t="str">
        <f>IF(ISBLANK(I545),"N/A",IF(((I545-H545)*24)&gt;INDEX(Dim_ServiceType!$E$2:$E$16,MATCH(E545,Dim_ServiceType!$A$2:$A$16,0)),"Yes","No"))</f>
        <v>N/A</v>
      </c>
      <c r="P545" s="7" t="str">
        <f t="shared" si="35"/>
        <v>In Progress</v>
      </c>
      <c r="Q545" s="6"/>
      <c r="R545" s="7"/>
    </row>
    <row r="546" spans="1:18" x14ac:dyDescent="0.35">
      <c r="A546" s="6">
        <v>545</v>
      </c>
      <c r="B546" s="7" t="s">
        <v>742</v>
      </c>
      <c r="C546" s="6">
        <v>10</v>
      </c>
      <c r="D546" s="6">
        <v>6</v>
      </c>
      <c r="E546" s="6">
        <v>15</v>
      </c>
      <c r="F546" s="6">
        <v>6</v>
      </c>
      <c r="G546" s="9">
        <v>45670.050347222197</v>
      </c>
      <c r="H546" s="9">
        <v>45671.050347222197</v>
      </c>
      <c r="I546" s="9">
        <v>45672.058680555601</v>
      </c>
      <c r="J546" s="9">
        <v>45672.079513888901</v>
      </c>
      <c r="K546" s="7" t="s">
        <v>207</v>
      </c>
      <c r="L546" s="10">
        <f t="shared" si="32"/>
        <v>24</v>
      </c>
      <c r="M546" s="10">
        <f t="shared" si="33"/>
        <v>24.200000001699664</v>
      </c>
      <c r="N546" s="10">
        <f t="shared" si="34"/>
        <v>48.700000000884756</v>
      </c>
      <c r="O546" s="7" t="str">
        <f>IF(ISBLANK(I546),"N/A",IF(((I546-H546)*24)&gt;INDEX(Dim_ServiceType!$E$2:$E$16,MATCH(E546,Dim_ServiceType!$A$2:$A$16,0)),"Yes","No"))</f>
        <v>Yes</v>
      </c>
      <c r="P546" s="7" t="str">
        <f t="shared" si="35"/>
        <v>Closed</v>
      </c>
      <c r="Q546" s="6">
        <v>3</v>
      </c>
      <c r="R546" s="7" t="s">
        <v>196</v>
      </c>
    </row>
    <row r="547" spans="1:18" x14ac:dyDescent="0.35">
      <c r="A547" s="6">
        <v>546</v>
      </c>
      <c r="B547" s="7" t="s">
        <v>743</v>
      </c>
      <c r="C547" s="6">
        <v>8</v>
      </c>
      <c r="D547" s="6">
        <v>9</v>
      </c>
      <c r="E547" s="6">
        <v>4</v>
      </c>
      <c r="F547" s="6">
        <v>2</v>
      </c>
      <c r="G547" s="9">
        <v>45898.8921527778</v>
      </c>
      <c r="H547" s="9">
        <v>45898.933819444399</v>
      </c>
      <c r="I547" s="9">
        <v>45899.700486111098</v>
      </c>
      <c r="J547" s="9">
        <v>45900.200486111098</v>
      </c>
      <c r="K547" s="7" t="s">
        <v>192</v>
      </c>
      <c r="L547" s="10">
        <f t="shared" si="32"/>
        <v>0.99999999837018549</v>
      </c>
      <c r="M547" s="10">
        <f t="shared" si="33"/>
        <v>18.400000000779983</v>
      </c>
      <c r="N547" s="10">
        <f t="shared" si="34"/>
        <v>31.399999999150168</v>
      </c>
      <c r="O547" s="7" t="str">
        <f>IF(ISBLANK(I547),"N/A",IF(((I547-H547)*24)&gt;INDEX(Dim_ServiceType!$E$2:$E$16,MATCH(E547,Dim_ServiceType!$A$2:$A$16,0)),"Yes","No"))</f>
        <v>No</v>
      </c>
      <c r="P547" s="7" t="str">
        <f t="shared" si="35"/>
        <v>Closed</v>
      </c>
      <c r="Q547" s="6">
        <v>4</v>
      </c>
      <c r="R547" s="7" t="s">
        <v>196</v>
      </c>
    </row>
    <row r="548" spans="1:18" x14ac:dyDescent="0.35">
      <c r="A548" s="6">
        <v>547</v>
      </c>
      <c r="B548" s="7" t="s">
        <v>744</v>
      </c>
      <c r="C548" s="6">
        <v>2</v>
      </c>
      <c r="D548" s="6">
        <v>6</v>
      </c>
      <c r="E548" s="6">
        <v>1</v>
      </c>
      <c r="F548" s="6">
        <v>3</v>
      </c>
      <c r="G548" s="9">
        <v>45940.756006944401</v>
      </c>
      <c r="H548" s="9">
        <v>45941.006006944401</v>
      </c>
      <c r="I548" s="9">
        <v>45941.076840277798</v>
      </c>
      <c r="J548" s="9">
        <v>45942.076840277798</v>
      </c>
      <c r="K548" s="7" t="s">
        <v>195</v>
      </c>
      <c r="L548" s="10">
        <f t="shared" si="32"/>
        <v>6</v>
      </c>
      <c r="M548" s="10">
        <f t="shared" si="33"/>
        <v>1.7000000015250407</v>
      </c>
      <c r="N548" s="10">
        <f t="shared" si="34"/>
        <v>31.700000001525041</v>
      </c>
      <c r="O548" s="7" t="str">
        <f>IF(ISBLANK(I548),"N/A",IF(((I548-H548)*24)&gt;INDEX(Dim_ServiceType!$E$2:$E$16,MATCH(E548,Dim_ServiceType!$A$2:$A$16,0)),"Yes","No"))</f>
        <v>No</v>
      </c>
      <c r="P548" s="7" t="str">
        <f t="shared" si="35"/>
        <v>Closed</v>
      </c>
      <c r="Q548" s="6">
        <v>2</v>
      </c>
      <c r="R548" s="7" t="s">
        <v>193</v>
      </c>
    </row>
    <row r="549" spans="1:18" x14ac:dyDescent="0.35">
      <c r="A549" s="6">
        <v>548</v>
      </c>
      <c r="B549" s="7" t="s">
        <v>745</v>
      </c>
      <c r="C549" s="6">
        <v>1</v>
      </c>
      <c r="D549" s="6">
        <v>2</v>
      </c>
      <c r="E549" s="6">
        <v>14</v>
      </c>
      <c r="F549" s="6">
        <v>12</v>
      </c>
      <c r="G549" s="9">
        <v>45865.951076388897</v>
      </c>
      <c r="H549" s="9">
        <v>45865.971909722197</v>
      </c>
      <c r="I549" s="9">
        <v>45866.230243055601</v>
      </c>
      <c r="J549" s="9">
        <v>45866.2719097222</v>
      </c>
      <c r="K549" s="7" t="s">
        <v>195</v>
      </c>
      <c r="L549" s="10">
        <f t="shared" si="32"/>
        <v>0.49999999918509275</v>
      </c>
      <c r="M549" s="10">
        <f t="shared" si="33"/>
        <v>6.2000000016996637</v>
      </c>
      <c r="N549" s="10">
        <f t="shared" si="34"/>
        <v>7.6999999992549419</v>
      </c>
      <c r="O549" s="7" t="str">
        <f>IF(ISBLANK(I549),"N/A",IF(((I549-H549)*24)&gt;INDEX(Dim_ServiceType!$E$2:$E$16,MATCH(E549,Dim_ServiceType!$A$2:$A$16,0)),"Yes","No"))</f>
        <v>No</v>
      </c>
      <c r="P549" s="7" t="str">
        <f t="shared" si="35"/>
        <v>Closed</v>
      </c>
      <c r="Q549" s="6">
        <v>5</v>
      </c>
      <c r="R549" s="7" t="s">
        <v>196</v>
      </c>
    </row>
    <row r="550" spans="1:18" x14ac:dyDescent="0.35">
      <c r="A550" s="6">
        <v>549</v>
      </c>
      <c r="B550" s="7" t="s">
        <v>746</v>
      </c>
      <c r="C550" s="6">
        <v>5</v>
      </c>
      <c r="D550" s="6">
        <v>9</v>
      </c>
      <c r="E550" s="6">
        <v>10</v>
      </c>
      <c r="F550" s="6">
        <v>2</v>
      </c>
      <c r="G550" s="9">
        <v>45878.252037036997</v>
      </c>
      <c r="H550" s="9">
        <v>45878.377037036997</v>
      </c>
      <c r="I550" s="9">
        <v>45878.668703703697</v>
      </c>
      <c r="J550" s="9">
        <v>45879.668703703697</v>
      </c>
      <c r="K550" s="7" t="s">
        <v>200</v>
      </c>
      <c r="L550" s="10">
        <f t="shared" si="32"/>
        <v>3</v>
      </c>
      <c r="M550" s="10">
        <f t="shared" si="33"/>
        <v>7.0000000008149073</v>
      </c>
      <c r="N550" s="10">
        <f t="shared" si="34"/>
        <v>34.000000000814907</v>
      </c>
      <c r="O550" s="7" t="str">
        <f>IF(ISBLANK(I550),"N/A",IF(((I550-H550)*24)&gt;INDEX(Dim_ServiceType!$E$2:$E$16,MATCH(E550,Dim_ServiceType!$A$2:$A$16,0)),"Yes","No"))</f>
        <v>Yes</v>
      </c>
      <c r="P550" s="7" t="str">
        <f t="shared" si="35"/>
        <v>Closed</v>
      </c>
      <c r="Q550" s="6">
        <v>1</v>
      </c>
      <c r="R550" s="7" t="s">
        <v>196</v>
      </c>
    </row>
    <row r="551" spans="1:18" x14ac:dyDescent="0.35">
      <c r="A551" s="6">
        <v>550</v>
      </c>
      <c r="B551" s="7" t="s">
        <v>747</v>
      </c>
      <c r="C551" s="6">
        <v>1</v>
      </c>
      <c r="D551" s="6">
        <v>5</v>
      </c>
      <c r="E551" s="6">
        <v>5</v>
      </c>
      <c r="F551" s="6">
        <v>7</v>
      </c>
      <c r="G551" s="9">
        <v>45668.448402777802</v>
      </c>
      <c r="H551" s="9">
        <v>45669.448402777802</v>
      </c>
      <c r="I551" s="9"/>
      <c r="J551" s="9"/>
      <c r="K551" s="7" t="s">
        <v>200</v>
      </c>
      <c r="L551" s="10">
        <f t="shared" si="32"/>
        <v>24</v>
      </c>
      <c r="M551" s="10" t="str">
        <f t="shared" si="33"/>
        <v/>
      </c>
      <c r="N551" s="10" t="str">
        <f t="shared" si="34"/>
        <v/>
      </c>
      <c r="O551" s="7" t="str">
        <f>IF(ISBLANK(I551),"N/A",IF(((I551-H551)*24)&gt;INDEX(Dim_ServiceType!$E$2:$E$16,MATCH(E551,Dim_ServiceType!$A$2:$A$16,0)),"Yes","No"))</f>
        <v>N/A</v>
      </c>
      <c r="P551" s="7" t="str">
        <f t="shared" si="35"/>
        <v>In Progress</v>
      </c>
      <c r="Q551" s="6"/>
      <c r="R551" s="7"/>
    </row>
    <row r="552" spans="1:18" x14ac:dyDescent="0.35">
      <c r="A552" s="6">
        <v>551</v>
      </c>
      <c r="B552" s="7" t="s">
        <v>748</v>
      </c>
      <c r="C552" s="6">
        <v>1</v>
      </c>
      <c r="D552" s="6">
        <v>4</v>
      </c>
      <c r="E552" s="6">
        <v>10</v>
      </c>
      <c r="F552" s="6">
        <v>9</v>
      </c>
      <c r="G552" s="9">
        <v>45708.801886574103</v>
      </c>
      <c r="H552" s="9">
        <v>45708.843553240702</v>
      </c>
      <c r="I552" s="9">
        <v>45709.951886574097</v>
      </c>
      <c r="J552" s="9">
        <v>45710.951886574097</v>
      </c>
      <c r="K552" s="7" t="s">
        <v>200</v>
      </c>
      <c r="L552" s="10">
        <f t="shared" si="32"/>
        <v>0.99999999837018549</v>
      </c>
      <c r="M552" s="10">
        <f t="shared" si="33"/>
        <v>26.600000001490116</v>
      </c>
      <c r="N552" s="10">
        <f t="shared" si="34"/>
        <v>51.599999999860302</v>
      </c>
      <c r="O552" s="7" t="str">
        <f>IF(ISBLANK(I552),"N/A",IF(((I552-H552)*24)&gt;INDEX(Dim_ServiceType!$E$2:$E$16,MATCH(E552,Dim_ServiceType!$A$2:$A$16,0)),"Yes","No"))</f>
        <v>Yes</v>
      </c>
      <c r="P552" s="7" t="str">
        <f t="shared" si="35"/>
        <v>Closed</v>
      </c>
      <c r="Q552" s="6">
        <v>4</v>
      </c>
      <c r="R552" s="7" t="s">
        <v>196</v>
      </c>
    </row>
    <row r="553" spans="1:18" x14ac:dyDescent="0.35">
      <c r="A553" s="6">
        <v>552</v>
      </c>
      <c r="B553" s="7" t="s">
        <v>749</v>
      </c>
      <c r="C553" s="6">
        <v>15</v>
      </c>
      <c r="D553" s="6">
        <v>11</v>
      </c>
      <c r="E553" s="6">
        <v>2</v>
      </c>
      <c r="F553" s="6">
        <v>12</v>
      </c>
      <c r="G553" s="9">
        <v>45746.079548611102</v>
      </c>
      <c r="H553" s="9">
        <v>45746.246215277803</v>
      </c>
      <c r="I553" s="9">
        <v>45746.379548611098</v>
      </c>
      <c r="J553" s="9">
        <v>45746.629548611098</v>
      </c>
      <c r="K553" s="7" t="s">
        <v>207</v>
      </c>
      <c r="L553" s="10">
        <f t="shared" si="32"/>
        <v>4.0000000008149073</v>
      </c>
      <c r="M553" s="10">
        <f t="shared" si="33"/>
        <v>3.199999999080319</v>
      </c>
      <c r="N553" s="10">
        <f t="shared" si="34"/>
        <v>13.199999999895226</v>
      </c>
      <c r="O553" s="7" t="str">
        <f>IF(ISBLANK(I553),"N/A",IF(((I553-H553)*24)&gt;INDEX(Dim_ServiceType!$E$2:$E$16,MATCH(E553,Dim_ServiceType!$A$2:$A$16,0)),"Yes","No"))</f>
        <v>No</v>
      </c>
      <c r="P553" s="7" t="str">
        <f t="shared" si="35"/>
        <v>Closed</v>
      </c>
      <c r="Q553" s="6">
        <v>3</v>
      </c>
      <c r="R553" s="7" t="s">
        <v>196</v>
      </c>
    </row>
    <row r="554" spans="1:18" x14ac:dyDescent="0.35">
      <c r="A554" s="6">
        <v>553</v>
      </c>
      <c r="B554" s="7" t="s">
        <v>750</v>
      </c>
      <c r="C554" s="6">
        <v>9</v>
      </c>
      <c r="D554" s="6">
        <v>2</v>
      </c>
      <c r="E554" s="6">
        <v>8</v>
      </c>
      <c r="F554" s="6">
        <v>5</v>
      </c>
      <c r="G554" s="9">
        <v>45993.070891203701</v>
      </c>
      <c r="H554" s="9">
        <v>45993.154224537</v>
      </c>
      <c r="I554" s="9">
        <v>45993.479224536997</v>
      </c>
      <c r="J554" s="9">
        <v>45993.520891203698</v>
      </c>
      <c r="K554" s="7" t="s">
        <v>200</v>
      </c>
      <c r="L554" s="10">
        <f t="shared" si="32"/>
        <v>1.9999999991850927</v>
      </c>
      <c r="M554" s="10">
        <f t="shared" si="33"/>
        <v>7.7999999999301508</v>
      </c>
      <c r="N554" s="10">
        <f t="shared" si="34"/>
        <v>10.799999999930151</v>
      </c>
      <c r="O554" s="7" t="str">
        <f>IF(ISBLANK(I554),"N/A",IF(((I554-H554)*24)&gt;INDEX(Dim_ServiceType!$E$2:$E$16,MATCH(E554,Dim_ServiceType!$A$2:$A$16,0)),"Yes","No"))</f>
        <v>Yes</v>
      </c>
      <c r="P554" s="7" t="str">
        <f t="shared" si="35"/>
        <v>Closed</v>
      </c>
      <c r="Q554" s="6">
        <v>5</v>
      </c>
      <c r="R554" s="7" t="s">
        <v>193</v>
      </c>
    </row>
    <row r="555" spans="1:18" x14ac:dyDescent="0.35">
      <c r="A555" s="6">
        <v>554</v>
      </c>
      <c r="B555" s="7" t="s">
        <v>751</v>
      </c>
      <c r="C555" s="6">
        <v>13</v>
      </c>
      <c r="D555" s="6">
        <v>1</v>
      </c>
      <c r="E555" s="6">
        <v>11</v>
      </c>
      <c r="F555" s="6">
        <v>15</v>
      </c>
      <c r="G555" s="9">
        <v>45718.141990740703</v>
      </c>
      <c r="H555" s="9">
        <v>45718.183657407397</v>
      </c>
      <c r="I555" s="9">
        <v>45718.804490740702</v>
      </c>
      <c r="J555" s="9">
        <v>45719.304490740702</v>
      </c>
      <c r="K555" s="7" t="s">
        <v>198</v>
      </c>
      <c r="L555" s="10">
        <f t="shared" si="32"/>
        <v>1.0000000006402843</v>
      </c>
      <c r="M555" s="10">
        <f t="shared" si="33"/>
        <v>14.899999999324791</v>
      </c>
      <c r="N555" s="10">
        <f t="shared" si="34"/>
        <v>27.899999999965075</v>
      </c>
      <c r="O555" s="7" t="str">
        <f>IF(ISBLANK(I555),"N/A",IF(((I555-H555)*24)&gt;INDEX(Dim_ServiceType!$E$2:$E$16,MATCH(E555,Dim_ServiceType!$A$2:$A$16,0)),"Yes","No"))</f>
        <v>Yes</v>
      </c>
      <c r="P555" s="7" t="str">
        <f t="shared" si="35"/>
        <v>Closed</v>
      </c>
      <c r="Q555" s="6">
        <v>3</v>
      </c>
      <c r="R555" s="7" t="s">
        <v>196</v>
      </c>
    </row>
    <row r="556" spans="1:18" x14ac:dyDescent="0.35">
      <c r="A556" s="6">
        <v>555</v>
      </c>
      <c r="B556" s="7" t="s">
        <v>752</v>
      </c>
      <c r="C556" s="6">
        <v>12</v>
      </c>
      <c r="D556" s="6">
        <v>4</v>
      </c>
      <c r="E556" s="6">
        <v>8</v>
      </c>
      <c r="F556" s="6">
        <v>13</v>
      </c>
      <c r="G556" s="9">
        <v>45966.286863425899</v>
      </c>
      <c r="H556" s="9">
        <v>45966.536863425899</v>
      </c>
      <c r="I556" s="9">
        <v>45966.816030092603</v>
      </c>
      <c r="J556" s="9">
        <v>45967.316030092603</v>
      </c>
      <c r="K556" s="7" t="s">
        <v>200</v>
      </c>
      <c r="L556" s="10">
        <f t="shared" si="32"/>
        <v>6</v>
      </c>
      <c r="M556" s="10">
        <f t="shared" si="33"/>
        <v>6.7000000008847564</v>
      </c>
      <c r="N556" s="10">
        <f t="shared" si="34"/>
        <v>24.700000000884756</v>
      </c>
      <c r="O556" s="7" t="str">
        <f>IF(ISBLANK(I556),"N/A",IF(((I556-H556)*24)&gt;INDEX(Dim_ServiceType!$E$2:$E$16,MATCH(E556,Dim_ServiceType!$A$2:$A$16,0)),"Yes","No"))</f>
        <v>Yes</v>
      </c>
      <c r="P556" s="7" t="str">
        <f t="shared" si="35"/>
        <v>Closed</v>
      </c>
      <c r="Q556" s="6">
        <v>5</v>
      </c>
      <c r="R556" s="7" t="s">
        <v>196</v>
      </c>
    </row>
    <row r="557" spans="1:18" x14ac:dyDescent="0.35">
      <c r="A557" s="6">
        <v>556</v>
      </c>
      <c r="B557" s="7" t="s">
        <v>753</v>
      </c>
      <c r="C557" s="6">
        <v>15</v>
      </c>
      <c r="D557" s="6">
        <v>7</v>
      </c>
      <c r="E557" s="6">
        <v>11</v>
      </c>
      <c r="F557" s="6">
        <v>8</v>
      </c>
      <c r="G557" s="9">
        <v>45989.965717592597</v>
      </c>
      <c r="H557" s="9">
        <v>45990.215717592597</v>
      </c>
      <c r="I557" s="9">
        <v>45990.407384259299</v>
      </c>
      <c r="J557" s="9">
        <v>45990.907384259299</v>
      </c>
      <c r="K557" s="7" t="s">
        <v>198</v>
      </c>
      <c r="L557" s="10">
        <f t="shared" si="32"/>
        <v>6</v>
      </c>
      <c r="M557" s="10">
        <f t="shared" si="33"/>
        <v>4.6000000008498318</v>
      </c>
      <c r="N557" s="10">
        <f t="shared" si="34"/>
        <v>22.600000000849832</v>
      </c>
      <c r="O557" s="7" t="str">
        <f>IF(ISBLANK(I557),"N/A",IF(((I557-H557)*24)&gt;INDEX(Dim_ServiceType!$E$2:$E$16,MATCH(E557,Dim_ServiceType!$A$2:$A$16,0)),"Yes","No"))</f>
        <v>No</v>
      </c>
      <c r="P557" s="7" t="str">
        <f t="shared" si="35"/>
        <v>Closed</v>
      </c>
      <c r="Q557" s="6">
        <v>4</v>
      </c>
      <c r="R557" s="7" t="s">
        <v>193</v>
      </c>
    </row>
    <row r="558" spans="1:18" x14ac:dyDescent="0.35">
      <c r="A558" s="6">
        <v>557</v>
      </c>
      <c r="B558" s="7" t="s">
        <v>754</v>
      </c>
      <c r="C558" s="6">
        <v>12</v>
      </c>
      <c r="D558" s="6">
        <v>5</v>
      </c>
      <c r="E558" s="6">
        <v>1</v>
      </c>
      <c r="F558" s="6">
        <v>1</v>
      </c>
      <c r="G558" s="9">
        <v>46006.524050925902</v>
      </c>
      <c r="H558" s="9"/>
      <c r="I558" s="9"/>
      <c r="J558" s="9"/>
      <c r="K558" s="7" t="s">
        <v>200</v>
      </c>
      <c r="L558" s="10" t="str">
        <f t="shared" si="32"/>
        <v/>
      </c>
      <c r="M558" s="10" t="str">
        <f t="shared" si="33"/>
        <v/>
      </c>
      <c r="N558" s="10" t="str">
        <f t="shared" si="34"/>
        <v/>
      </c>
      <c r="O558" s="7" t="str">
        <f>IF(ISBLANK(I558),"N/A",IF(((I558-H558)*24)&gt;INDEX(Dim_ServiceType!$E$2:$E$16,MATCH(E558,Dim_ServiceType!$A$2:$A$16,0)),"Yes","No"))</f>
        <v>N/A</v>
      </c>
      <c r="P558" s="7" t="str">
        <f t="shared" si="35"/>
        <v>Open (Unassigned)</v>
      </c>
      <c r="Q558" s="6"/>
      <c r="R558" s="7"/>
    </row>
    <row r="559" spans="1:18" x14ac:dyDescent="0.35">
      <c r="A559" s="6">
        <v>558</v>
      </c>
      <c r="B559" s="7" t="s">
        <v>755</v>
      </c>
      <c r="C559" s="6">
        <v>10</v>
      </c>
      <c r="D559" s="6">
        <v>11</v>
      </c>
      <c r="E559" s="6">
        <v>15</v>
      </c>
      <c r="F559" s="6">
        <v>9</v>
      </c>
      <c r="G559" s="9">
        <v>45967.433703703697</v>
      </c>
      <c r="H559" s="9">
        <v>45967.683703703697</v>
      </c>
      <c r="I559" s="9"/>
      <c r="J559" s="9"/>
      <c r="K559" s="7" t="s">
        <v>207</v>
      </c>
      <c r="L559" s="10">
        <f t="shared" si="32"/>
        <v>6</v>
      </c>
      <c r="M559" s="10" t="str">
        <f t="shared" si="33"/>
        <v/>
      </c>
      <c r="N559" s="10" t="str">
        <f t="shared" si="34"/>
        <v/>
      </c>
      <c r="O559" s="7" t="str">
        <f>IF(ISBLANK(I559),"N/A",IF(((I559-H559)*24)&gt;INDEX(Dim_ServiceType!$E$2:$E$16,MATCH(E559,Dim_ServiceType!$A$2:$A$16,0)),"Yes","No"))</f>
        <v>N/A</v>
      </c>
      <c r="P559" s="7" t="str">
        <f t="shared" si="35"/>
        <v>In Progress</v>
      </c>
      <c r="Q559" s="6"/>
      <c r="R559" s="7"/>
    </row>
    <row r="560" spans="1:18" x14ac:dyDescent="0.35">
      <c r="A560" s="6">
        <v>559</v>
      </c>
      <c r="B560" s="7" t="s">
        <v>756</v>
      </c>
      <c r="C560" s="6">
        <v>15</v>
      </c>
      <c r="D560" s="6">
        <v>15</v>
      </c>
      <c r="E560" s="6">
        <v>2</v>
      </c>
      <c r="F560" s="6">
        <v>7</v>
      </c>
      <c r="G560" s="9">
        <v>45724.526574074102</v>
      </c>
      <c r="H560" s="9">
        <v>45724.5682407407</v>
      </c>
      <c r="I560" s="9">
        <v>45724.655740740702</v>
      </c>
      <c r="J560" s="9">
        <v>45724.822407407402</v>
      </c>
      <c r="K560" s="7" t="s">
        <v>198</v>
      </c>
      <c r="L560" s="10">
        <f t="shared" si="32"/>
        <v>0.99999999837018549</v>
      </c>
      <c r="M560" s="10">
        <f t="shared" si="33"/>
        <v>2.1000000000349246</v>
      </c>
      <c r="N560" s="10">
        <f t="shared" si="34"/>
        <v>7.0999999992200173</v>
      </c>
      <c r="O560" s="7" t="str">
        <f>IF(ISBLANK(I560),"N/A",IF(((I560-H560)*24)&gt;INDEX(Dim_ServiceType!$E$2:$E$16,MATCH(E560,Dim_ServiceType!$A$2:$A$16,0)),"Yes","No"))</f>
        <v>No</v>
      </c>
      <c r="P560" s="7" t="str">
        <f t="shared" si="35"/>
        <v>Closed</v>
      </c>
      <c r="Q560" s="6">
        <v>5</v>
      </c>
      <c r="R560" s="7" t="s">
        <v>196</v>
      </c>
    </row>
    <row r="561" spans="1:18" x14ac:dyDescent="0.35">
      <c r="A561" s="6">
        <v>560</v>
      </c>
      <c r="B561" s="7" t="s">
        <v>757</v>
      </c>
      <c r="C561" s="6">
        <v>12</v>
      </c>
      <c r="D561" s="6">
        <v>5</v>
      </c>
      <c r="E561" s="6">
        <v>14</v>
      </c>
      <c r="F561" s="6">
        <v>3</v>
      </c>
      <c r="G561" s="9">
        <v>45677.917997685203</v>
      </c>
      <c r="H561" s="9">
        <v>45678.251331018502</v>
      </c>
      <c r="I561" s="9">
        <v>45678.551331018498</v>
      </c>
      <c r="J561" s="9">
        <v>45679.051331018498</v>
      </c>
      <c r="K561" s="7" t="s">
        <v>207</v>
      </c>
      <c r="L561" s="10">
        <f t="shared" si="32"/>
        <v>7.9999999991850927</v>
      </c>
      <c r="M561" s="10">
        <f t="shared" si="33"/>
        <v>7.1999999998952262</v>
      </c>
      <c r="N561" s="10">
        <f t="shared" si="34"/>
        <v>27.199999999080319</v>
      </c>
      <c r="O561" s="7" t="str">
        <f>IF(ISBLANK(I561),"N/A",IF(((I561-H561)*24)&gt;INDEX(Dim_ServiceType!$E$2:$E$16,MATCH(E561,Dim_ServiceType!$A$2:$A$16,0)),"Yes","No"))</f>
        <v>No</v>
      </c>
      <c r="P561" s="7" t="str">
        <f t="shared" si="35"/>
        <v>Closed</v>
      </c>
      <c r="Q561" s="6">
        <v>4</v>
      </c>
      <c r="R561" s="7" t="s">
        <v>196</v>
      </c>
    </row>
    <row r="562" spans="1:18" x14ac:dyDescent="0.35">
      <c r="A562" s="6">
        <v>561</v>
      </c>
      <c r="B562" s="7" t="s">
        <v>758</v>
      </c>
      <c r="C562" s="6">
        <v>13</v>
      </c>
      <c r="D562" s="6">
        <v>8</v>
      </c>
      <c r="E562" s="6">
        <v>14</v>
      </c>
      <c r="F562" s="6">
        <v>11</v>
      </c>
      <c r="G562" s="9">
        <v>45734.250277777799</v>
      </c>
      <c r="H562" s="9">
        <v>45735.250277777799</v>
      </c>
      <c r="I562" s="9">
        <v>45735.646111111098</v>
      </c>
      <c r="J562" s="9">
        <v>45736.146111111098</v>
      </c>
      <c r="K562" s="7" t="s">
        <v>198</v>
      </c>
      <c r="L562" s="10">
        <f t="shared" si="32"/>
        <v>24</v>
      </c>
      <c r="M562" s="10">
        <f t="shared" si="33"/>
        <v>9.4999999991850927</v>
      </c>
      <c r="N562" s="10">
        <f t="shared" si="34"/>
        <v>45.499999999185093</v>
      </c>
      <c r="O562" s="7" t="str">
        <f>IF(ISBLANK(I562),"N/A",IF(((I562-H562)*24)&gt;INDEX(Dim_ServiceType!$E$2:$E$16,MATCH(E562,Dim_ServiceType!$A$2:$A$16,0)),"Yes","No"))</f>
        <v>Yes</v>
      </c>
      <c r="P562" s="7" t="str">
        <f t="shared" si="35"/>
        <v>Closed</v>
      </c>
      <c r="Q562" s="6">
        <v>2</v>
      </c>
      <c r="R562" s="7" t="s">
        <v>196</v>
      </c>
    </row>
    <row r="563" spans="1:18" x14ac:dyDescent="0.35">
      <c r="A563" s="6">
        <v>562</v>
      </c>
      <c r="B563" s="7" t="s">
        <v>759</v>
      </c>
      <c r="C563" s="6">
        <v>3</v>
      </c>
      <c r="D563" s="6">
        <v>3</v>
      </c>
      <c r="E563" s="6">
        <v>7</v>
      </c>
      <c r="F563" s="6">
        <v>7</v>
      </c>
      <c r="G563" s="9">
        <v>45974.624039351896</v>
      </c>
      <c r="H563" s="9">
        <v>45974.749039351896</v>
      </c>
      <c r="I563" s="9">
        <v>45975.078206018501</v>
      </c>
      <c r="J563" s="9">
        <v>45975.328206018501</v>
      </c>
      <c r="K563" s="7" t="s">
        <v>192</v>
      </c>
      <c r="L563" s="10">
        <f t="shared" si="32"/>
        <v>3</v>
      </c>
      <c r="M563" s="10">
        <f t="shared" si="33"/>
        <v>7.8999999985098839</v>
      </c>
      <c r="N563" s="10">
        <f t="shared" si="34"/>
        <v>16.899999998509884</v>
      </c>
      <c r="O563" s="7" t="str">
        <f>IF(ISBLANK(I563),"N/A",IF(((I563-H563)*24)&gt;INDEX(Dim_ServiceType!$E$2:$E$16,MATCH(E563,Dim_ServiceType!$A$2:$A$16,0)),"Yes","No"))</f>
        <v>No</v>
      </c>
      <c r="P563" s="7" t="str">
        <f t="shared" si="35"/>
        <v>Closed</v>
      </c>
      <c r="Q563" s="6">
        <v>4</v>
      </c>
      <c r="R563" s="7" t="s">
        <v>196</v>
      </c>
    </row>
    <row r="564" spans="1:18" x14ac:dyDescent="0.35">
      <c r="A564" s="6">
        <v>563</v>
      </c>
      <c r="B564" s="7" t="s">
        <v>760</v>
      </c>
      <c r="C564" s="6">
        <v>12</v>
      </c>
      <c r="D564" s="6">
        <v>10</v>
      </c>
      <c r="E564" s="6">
        <v>5</v>
      </c>
      <c r="F564" s="6">
        <v>4</v>
      </c>
      <c r="G564" s="9">
        <v>45722.874467592599</v>
      </c>
      <c r="H564" s="9">
        <v>45723.207800925898</v>
      </c>
      <c r="I564" s="9">
        <v>45723.611967592602</v>
      </c>
      <c r="J564" s="9">
        <v>45724.111967592602</v>
      </c>
      <c r="K564" s="7" t="s">
        <v>198</v>
      </c>
      <c r="L564" s="10">
        <f t="shared" si="32"/>
        <v>7.9999999991850927</v>
      </c>
      <c r="M564" s="10">
        <f t="shared" si="33"/>
        <v>9.7000000008847564</v>
      </c>
      <c r="N564" s="10">
        <f t="shared" si="34"/>
        <v>29.700000000069849</v>
      </c>
      <c r="O564" s="7" t="str">
        <f>IF(ISBLANK(I564),"N/A",IF(((I564-H564)*24)&gt;INDEX(Dim_ServiceType!$E$2:$E$16,MATCH(E564,Dim_ServiceType!$A$2:$A$16,0)),"Yes","No"))</f>
        <v>No</v>
      </c>
      <c r="P564" s="7" t="str">
        <f t="shared" si="35"/>
        <v>Closed</v>
      </c>
      <c r="Q564" s="6">
        <v>3</v>
      </c>
      <c r="R564" s="7" t="s">
        <v>196</v>
      </c>
    </row>
    <row r="565" spans="1:18" x14ac:dyDescent="0.35">
      <c r="A565" s="6">
        <v>564</v>
      </c>
      <c r="B565" s="7" t="s">
        <v>761</v>
      </c>
      <c r="C565" s="6">
        <v>5</v>
      </c>
      <c r="D565" s="6">
        <v>9</v>
      </c>
      <c r="E565" s="6">
        <v>1</v>
      </c>
      <c r="F565" s="6">
        <v>15</v>
      </c>
      <c r="G565" s="9">
        <v>45994.565868055601</v>
      </c>
      <c r="H565" s="9">
        <v>45994.8992013889</v>
      </c>
      <c r="I565" s="9">
        <v>45995.120034722197</v>
      </c>
      <c r="J565" s="9">
        <v>45995.620034722197</v>
      </c>
      <c r="K565" s="7" t="s">
        <v>195</v>
      </c>
      <c r="L565" s="10">
        <f t="shared" si="32"/>
        <v>7.9999999991850927</v>
      </c>
      <c r="M565" s="10">
        <f t="shared" si="33"/>
        <v>5.2999999991152436</v>
      </c>
      <c r="N565" s="10">
        <f t="shared" si="34"/>
        <v>25.299999998300336</v>
      </c>
      <c r="O565" s="7" t="str">
        <f>IF(ISBLANK(I565),"N/A",IF(((I565-H565)*24)&gt;INDEX(Dim_ServiceType!$E$2:$E$16,MATCH(E565,Dim_ServiceType!$A$2:$A$16,0)),"Yes","No"))</f>
        <v>Yes</v>
      </c>
      <c r="P565" s="7" t="str">
        <f t="shared" si="35"/>
        <v>Closed</v>
      </c>
      <c r="Q565" s="6">
        <v>3</v>
      </c>
      <c r="R565" s="7" t="s">
        <v>196</v>
      </c>
    </row>
    <row r="566" spans="1:18" x14ac:dyDescent="0.35">
      <c r="A566" s="6">
        <v>565</v>
      </c>
      <c r="B566" s="7" t="s">
        <v>762</v>
      </c>
      <c r="C566" s="6">
        <v>8</v>
      </c>
      <c r="D566" s="6">
        <v>3</v>
      </c>
      <c r="E566" s="6">
        <v>15</v>
      </c>
      <c r="F566" s="6">
        <v>1</v>
      </c>
      <c r="G566" s="9">
        <v>45868.137939814798</v>
      </c>
      <c r="H566" s="9">
        <v>45868.1587731482</v>
      </c>
      <c r="I566" s="9">
        <v>45869.1004398148</v>
      </c>
      <c r="J566" s="9">
        <v>45869.6004398148</v>
      </c>
      <c r="K566" s="7" t="s">
        <v>192</v>
      </c>
      <c r="L566" s="10">
        <f t="shared" si="32"/>
        <v>0.50000000162981451</v>
      </c>
      <c r="M566" s="10">
        <f t="shared" si="33"/>
        <v>22.59999999840511</v>
      </c>
      <c r="N566" s="10">
        <f t="shared" si="34"/>
        <v>35.100000000034925</v>
      </c>
      <c r="O566" s="7" t="str">
        <f>IF(ISBLANK(I566),"N/A",IF(((I566-H566)*24)&gt;INDEX(Dim_ServiceType!$E$2:$E$16,MATCH(E566,Dim_ServiceType!$A$2:$A$16,0)),"Yes","No"))</f>
        <v>No</v>
      </c>
      <c r="P566" s="7" t="str">
        <f t="shared" si="35"/>
        <v>Closed</v>
      </c>
      <c r="Q566" s="6">
        <v>4</v>
      </c>
      <c r="R566" s="7" t="s">
        <v>196</v>
      </c>
    </row>
    <row r="567" spans="1:18" x14ac:dyDescent="0.35">
      <c r="A567" s="6">
        <v>566</v>
      </c>
      <c r="B567" s="7" t="s">
        <v>763</v>
      </c>
      <c r="C567" s="6">
        <v>8</v>
      </c>
      <c r="D567" s="6">
        <v>5</v>
      </c>
      <c r="E567" s="6">
        <v>1</v>
      </c>
      <c r="F567" s="6">
        <v>13</v>
      </c>
      <c r="G567" s="9">
        <v>45999.984594907401</v>
      </c>
      <c r="H567" s="9"/>
      <c r="I567" s="9"/>
      <c r="J567" s="9"/>
      <c r="K567" s="7" t="s">
        <v>195</v>
      </c>
      <c r="L567" s="10" t="str">
        <f t="shared" si="32"/>
        <v/>
      </c>
      <c r="M567" s="10" t="str">
        <f t="shared" si="33"/>
        <v/>
      </c>
      <c r="N567" s="10" t="str">
        <f t="shared" si="34"/>
        <v/>
      </c>
      <c r="O567" s="7" t="str">
        <f>IF(ISBLANK(I567),"N/A",IF(((I567-H567)*24)&gt;INDEX(Dim_ServiceType!$E$2:$E$16,MATCH(E567,Dim_ServiceType!$A$2:$A$16,0)),"Yes","No"))</f>
        <v>N/A</v>
      </c>
      <c r="P567" s="7" t="str">
        <f t="shared" si="35"/>
        <v>Open (Unassigned)</v>
      </c>
      <c r="Q567" s="6"/>
      <c r="R567" s="7"/>
    </row>
    <row r="568" spans="1:18" x14ac:dyDescent="0.35">
      <c r="A568" s="6">
        <v>567</v>
      </c>
      <c r="B568" s="7" t="s">
        <v>764</v>
      </c>
      <c r="C568" s="6">
        <v>4</v>
      </c>
      <c r="D568" s="6">
        <v>2</v>
      </c>
      <c r="E568" s="6">
        <v>9</v>
      </c>
      <c r="F568" s="6">
        <v>4</v>
      </c>
      <c r="G568" s="9">
        <v>45663.812962962998</v>
      </c>
      <c r="H568" s="9">
        <v>45664.062962962998</v>
      </c>
      <c r="I568" s="9">
        <v>45666.900462963</v>
      </c>
      <c r="J568" s="9">
        <v>45667.150462963</v>
      </c>
      <c r="K568" s="7" t="s">
        <v>192</v>
      </c>
      <c r="L568" s="10">
        <f t="shared" si="32"/>
        <v>6</v>
      </c>
      <c r="M568" s="10">
        <f t="shared" si="33"/>
        <v>68.100000000034925</v>
      </c>
      <c r="N568" s="10">
        <f t="shared" si="34"/>
        <v>80.100000000034925</v>
      </c>
      <c r="O568" s="7" t="str">
        <f>IF(ISBLANK(I568),"N/A",IF(((I568-H568)*24)&gt;INDEX(Dim_ServiceType!$E$2:$E$16,MATCH(E568,Dim_ServiceType!$A$2:$A$16,0)),"Yes","No"))</f>
        <v>No</v>
      </c>
      <c r="P568" s="7" t="str">
        <f t="shared" si="35"/>
        <v>Closed</v>
      </c>
      <c r="Q568" s="6">
        <v>5</v>
      </c>
      <c r="R568" s="7" t="s">
        <v>196</v>
      </c>
    </row>
    <row r="569" spans="1:18" x14ac:dyDescent="0.35">
      <c r="A569" s="6">
        <v>568</v>
      </c>
      <c r="B569" s="7" t="s">
        <v>765</v>
      </c>
      <c r="C569" s="6">
        <v>3</v>
      </c>
      <c r="D569" s="6">
        <v>5</v>
      </c>
      <c r="E569" s="6">
        <v>14</v>
      </c>
      <c r="F569" s="6">
        <v>10</v>
      </c>
      <c r="G569" s="9">
        <v>45818.835729166698</v>
      </c>
      <c r="H569" s="9">
        <v>45819.835729166698</v>
      </c>
      <c r="I569" s="9">
        <v>45820.256562499999</v>
      </c>
      <c r="J569" s="9">
        <v>45820.277395833298</v>
      </c>
      <c r="K569" s="7" t="s">
        <v>192</v>
      </c>
      <c r="L569" s="10">
        <f t="shared" si="32"/>
        <v>24</v>
      </c>
      <c r="M569" s="10">
        <f t="shared" si="33"/>
        <v>10.099999999220017</v>
      </c>
      <c r="N569" s="10">
        <f t="shared" si="34"/>
        <v>34.59999999840511</v>
      </c>
      <c r="O569" s="7" t="str">
        <f>IF(ISBLANK(I569),"N/A",IF(((I569-H569)*24)&gt;INDEX(Dim_ServiceType!$E$2:$E$16,MATCH(E569,Dim_ServiceType!$A$2:$A$16,0)),"Yes","No"))</f>
        <v>Yes</v>
      </c>
      <c r="P569" s="7" t="str">
        <f t="shared" si="35"/>
        <v>Closed</v>
      </c>
      <c r="Q569" s="6">
        <v>5</v>
      </c>
      <c r="R569" s="7" t="s">
        <v>196</v>
      </c>
    </row>
    <row r="570" spans="1:18" x14ac:dyDescent="0.35">
      <c r="A570" s="6">
        <v>569</v>
      </c>
      <c r="B570" s="7" t="s">
        <v>766</v>
      </c>
      <c r="C570" s="6">
        <v>15</v>
      </c>
      <c r="D570" s="6">
        <v>2</v>
      </c>
      <c r="E570" s="6">
        <v>8</v>
      </c>
      <c r="F570" s="6">
        <v>11</v>
      </c>
      <c r="G570" s="9">
        <v>45818.033819444398</v>
      </c>
      <c r="H570" s="9">
        <v>45818.158819444398</v>
      </c>
      <c r="I570" s="9">
        <v>45818.467152777797</v>
      </c>
      <c r="J570" s="9">
        <v>45818.717152777797</v>
      </c>
      <c r="K570" s="7" t="s">
        <v>200</v>
      </c>
      <c r="L570" s="10">
        <f t="shared" si="32"/>
        <v>3</v>
      </c>
      <c r="M570" s="10">
        <f t="shared" si="33"/>
        <v>7.4000000015948899</v>
      </c>
      <c r="N570" s="10">
        <f t="shared" si="34"/>
        <v>16.40000000159489</v>
      </c>
      <c r="O570" s="7" t="str">
        <f>IF(ISBLANK(I570),"N/A",IF(((I570-H570)*24)&gt;INDEX(Dim_ServiceType!$E$2:$E$16,MATCH(E570,Dim_ServiceType!$A$2:$A$16,0)),"Yes","No"))</f>
        <v>Yes</v>
      </c>
      <c r="P570" s="7" t="str">
        <f t="shared" si="35"/>
        <v>Closed</v>
      </c>
      <c r="Q570" s="6">
        <v>2</v>
      </c>
      <c r="R570" s="7" t="s">
        <v>193</v>
      </c>
    </row>
    <row r="571" spans="1:18" x14ac:dyDescent="0.35">
      <c r="A571" s="6">
        <v>570</v>
      </c>
      <c r="B571" s="7" t="s">
        <v>767</v>
      </c>
      <c r="C571" s="6">
        <v>4</v>
      </c>
      <c r="D571" s="6">
        <v>8</v>
      </c>
      <c r="E571" s="6">
        <v>2</v>
      </c>
      <c r="F571" s="6">
        <v>9</v>
      </c>
      <c r="G571" s="9">
        <v>45777.8491782407</v>
      </c>
      <c r="H571" s="9">
        <v>45778.5991782407</v>
      </c>
      <c r="I571" s="9"/>
      <c r="J571" s="9"/>
      <c r="K571" s="7" t="s">
        <v>192</v>
      </c>
      <c r="L571" s="10">
        <f t="shared" si="32"/>
        <v>18</v>
      </c>
      <c r="M571" s="10" t="str">
        <f t="shared" si="33"/>
        <v/>
      </c>
      <c r="N571" s="10" t="str">
        <f t="shared" si="34"/>
        <v/>
      </c>
      <c r="O571" s="7" t="str">
        <f>IF(ISBLANK(I571),"N/A",IF(((I571-H571)*24)&gt;INDEX(Dim_ServiceType!$E$2:$E$16,MATCH(E571,Dim_ServiceType!$A$2:$A$16,0)),"Yes","No"))</f>
        <v>N/A</v>
      </c>
      <c r="P571" s="7" t="str">
        <f t="shared" si="35"/>
        <v>In Progress</v>
      </c>
      <c r="Q571" s="6"/>
      <c r="R571" s="7"/>
    </row>
    <row r="572" spans="1:18" x14ac:dyDescent="0.35">
      <c r="A572" s="6">
        <v>571</v>
      </c>
      <c r="B572" s="7" t="s">
        <v>768</v>
      </c>
      <c r="C572" s="6">
        <v>8</v>
      </c>
      <c r="D572" s="6">
        <v>1</v>
      </c>
      <c r="E572" s="6">
        <v>7</v>
      </c>
      <c r="F572" s="6">
        <v>2</v>
      </c>
      <c r="G572" s="9">
        <v>45842.412951388898</v>
      </c>
      <c r="H572" s="9">
        <v>45842.537951388898</v>
      </c>
      <c r="I572" s="9">
        <v>45843.7921180556</v>
      </c>
      <c r="J572" s="9">
        <v>45843.8129513889</v>
      </c>
      <c r="K572" s="7" t="s">
        <v>207</v>
      </c>
      <c r="L572" s="10">
        <f t="shared" si="32"/>
        <v>3</v>
      </c>
      <c r="M572" s="10">
        <f t="shared" si="33"/>
        <v>30.100000000849832</v>
      </c>
      <c r="N572" s="10">
        <f t="shared" si="34"/>
        <v>33.600000000034925</v>
      </c>
      <c r="O572" s="7" t="str">
        <f>IF(ISBLANK(I572),"N/A",IF(((I572-H572)*24)&gt;INDEX(Dim_ServiceType!$E$2:$E$16,MATCH(E572,Dim_ServiceType!$A$2:$A$16,0)),"Yes","No"))</f>
        <v>Yes</v>
      </c>
      <c r="P572" s="7" t="str">
        <f t="shared" si="35"/>
        <v>Closed</v>
      </c>
      <c r="Q572" s="6">
        <v>4</v>
      </c>
      <c r="R572" s="7" t="s">
        <v>193</v>
      </c>
    </row>
    <row r="573" spans="1:18" x14ac:dyDescent="0.35">
      <c r="A573" s="6">
        <v>572</v>
      </c>
      <c r="B573" s="7" t="s">
        <v>769</v>
      </c>
      <c r="C573" s="6">
        <v>13</v>
      </c>
      <c r="D573" s="6">
        <v>7</v>
      </c>
      <c r="E573" s="6">
        <v>10</v>
      </c>
      <c r="F573" s="6">
        <v>1</v>
      </c>
      <c r="G573" s="9">
        <v>45702.571712962999</v>
      </c>
      <c r="H573" s="9">
        <v>45703.571712962999</v>
      </c>
      <c r="I573" s="9"/>
      <c r="J573" s="9"/>
      <c r="K573" s="7" t="s">
        <v>200</v>
      </c>
      <c r="L573" s="10">
        <f t="shared" si="32"/>
        <v>24</v>
      </c>
      <c r="M573" s="10" t="str">
        <f t="shared" si="33"/>
        <v/>
      </c>
      <c r="N573" s="10" t="str">
        <f t="shared" si="34"/>
        <v/>
      </c>
      <c r="O573" s="7" t="str">
        <f>IF(ISBLANK(I573),"N/A",IF(((I573-H573)*24)&gt;INDEX(Dim_ServiceType!$E$2:$E$16,MATCH(E573,Dim_ServiceType!$A$2:$A$16,0)),"Yes","No"))</f>
        <v>N/A</v>
      </c>
      <c r="P573" s="7" t="str">
        <f t="shared" si="35"/>
        <v>In Progress</v>
      </c>
      <c r="Q573" s="6"/>
      <c r="R573" s="7"/>
    </row>
    <row r="574" spans="1:18" x14ac:dyDescent="0.35">
      <c r="A574" s="6">
        <v>573</v>
      </c>
      <c r="B574" s="7" t="s">
        <v>770</v>
      </c>
      <c r="C574" s="6">
        <v>1</v>
      </c>
      <c r="D574" s="6">
        <v>1</v>
      </c>
      <c r="E574" s="6">
        <v>5</v>
      </c>
      <c r="F574" s="6">
        <v>1</v>
      </c>
      <c r="G574" s="9">
        <v>45711.091076388897</v>
      </c>
      <c r="H574" s="9">
        <v>45711.591076388897</v>
      </c>
      <c r="I574" s="9">
        <v>45712.103576388901</v>
      </c>
      <c r="J574" s="9">
        <v>45713.103576388901</v>
      </c>
      <c r="K574" s="7" t="s">
        <v>207</v>
      </c>
      <c r="L574" s="10">
        <f t="shared" si="32"/>
        <v>12</v>
      </c>
      <c r="M574" s="10">
        <f t="shared" si="33"/>
        <v>12.300000000104774</v>
      </c>
      <c r="N574" s="10">
        <f t="shared" si="34"/>
        <v>48.300000000104774</v>
      </c>
      <c r="O574" s="7" t="str">
        <f>IF(ISBLANK(I574),"N/A",IF(((I574-H574)*24)&gt;INDEX(Dim_ServiceType!$E$2:$E$16,MATCH(E574,Dim_ServiceType!$A$2:$A$16,0)),"Yes","No"))</f>
        <v>Yes</v>
      </c>
      <c r="P574" s="7" t="str">
        <f t="shared" si="35"/>
        <v>Closed</v>
      </c>
      <c r="Q574" s="6">
        <v>3</v>
      </c>
      <c r="R574" s="7" t="s">
        <v>196</v>
      </c>
    </row>
    <row r="575" spans="1:18" x14ac:dyDescent="0.35">
      <c r="A575" s="6">
        <v>574</v>
      </c>
      <c r="B575" s="7" t="s">
        <v>771</v>
      </c>
      <c r="C575" s="6">
        <v>14</v>
      </c>
      <c r="D575" s="6">
        <v>15</v>
      </c>
      <c r="E575" s="6">
        <v>11</v>
      </c>
      <c r="F575" s="6">
        <v>13</v>
      </c>
      <c r="G575" s="9">
        <v>45697.697708333297</v>
      </c>
      <c r="H575" s="9">
        <v>45697.781041666698</v>
      </c>
      <c r="I575" s="9">
        <v>45698.256041666697</v>
      </c>
      <c r="J575" s="9">
        <v>45699.256041666697</v>
      </c>
      <c r="K575" s="7" t="s">
        <v>200</v>
      </c>
      <c r="L575" s="10">
        <f t="shared" si="32"/>
        <v>2.0000000016298145</v>
      </c>
      <c r="M575" s="10">
        <f t="shared" si="33"/>
        <v>11.399999999965075</v>
      </c>
      <c r="N575" s="10">
        <f t="shared" si="34"/>
        <v>37.40000000159489</v>
      </c>
      <c r="O575" s="7" t="str">
        <f>IF(ISBLANK(I575),"N/A",IF(((I575-H575)*24)&gt;INDEX(Dim_ServiceType!$E$2:$E$16,MATCH(E575,Dim_ServiceType!$A$2:$A$16,0)),"Yes","No"))</f>
        <v>No</v>
      </c>
      <c r="P575" s="7" t="str">
        <f t="shared" si="35"/>
        <v>Closed</v>
      </c>
      <c r="Q575" s="6">
        <v>5</v>
      </c>
      <c r="R575" s="7" t="s">
        <v>196</v>
      </c>
    </row>
    <row r="576" spans="1:18" x14ac:dyDescent="0.35">
      <c r="A576" s="6">
        <v>575</v>
      </c>
      <c r="B576" s="7" t="s">
        <v>772</v>
      </c>
      <c r="C576" s="6">
        <v>13</v>
      </c>
      <c r="D576" s="6">
        <v>1</v>
      </c>
      <c r="E576" s="6">
        <v>11</v>
      </c>
      <c r="F576" s="6">
        <v>15</v>
      </c>
      <c r="G576" s="9">
        <v>45750.280115740701</v>
      </c>
      <c r="H576" s="9">
        <v>45750.300949074102</v>
      </c>
      <c r="I576" s="9">
        <v>45750.888449074097</v>
      </c>
      <c r="J576" s="9">
        <v>45751.055115740703</v>
      </c>
      <c r="K576" s="7" t="s">
        <v>192</v>
      </c>
      <c r="L576" s="10">
        <f t="shared" si="32"/>
        <v>0.50000000162981451</v>
      </c>
      <c r="M576" s="10">
        <f t="shared" si="33"/>
        <v>14.099999999860302</v>
      </c>
      <c r="N576" s="10">
        <f t="shared" si="34"/>
        <v>18.600000000034925</v>
      </c>
      <c r="O576" s="7" t="str">
        <f>IF(ISBLANK(I576),"N/A",IF(((I576-H576)*24)&gt;INDEX(Dim_ServiceType!$E$2:$E$16,MATCH(E576,Dim_ServiceType!$A$2:$A$16,0)),"Yes","No"))</f>
        <v>Yes</v>
      </c>
      <c r="P576" s="7" t="str">
        <f t="shared" si="35"/>
        <v>Closed</v>
      </c>
      <c r="Q576" s="6">
        <v>3</v>
      </c>
      <c r="R576" s="7" t="s">
        <v>196</v>
      </c>
    </row>
    <row r="577" spans="1:18" x14ac:dyDescent="0.35">
      <c r="A577" s="6">
        <v>576</v>
      </c>
      <c r="B577" s="7" t="s">
        <v>773</v>
      </c>
      <c r="C577" s="6">
        <v>3</v>
      </c>
      <c r="D577" s="6">
        <v>12</v>
      </c>
      <c r="E577" s="6">
        <v>8</v>
      </c>
      <c r="F577" s="6">
        <v>9</v>
      </c>
      <c r="G577" s="9">
        <v>45947.306446759299</v>
      </c>
      <c r="H577" s="9">
        <v>45947.327280092599</v>
      </c>
      <c r="I577" s="9">
        <v>45947.402280092603</v>
      </c>
      <c r="J577" s="9">
        <v>45947.652280092603</v>
      </c>
      <c r="K577" s="7" t="s">
        <v>195</v>
      </c>
      <c r="L577" s="10">
        <f t="shared" si="32"/>
        <v>0.49999999918509275</v>
      </c>
      <c r="M577" s="10">
        <f t="shared" si="33"/>
        <v>1.8000000001047738</v>
      </c>
      <c r="N577" s="10">
        <f t="shared" si="34"/>
        <v>8.2999999992898665</v>
      </c>
      <c r="O577" s="7" t="str">
        <f>IF(ISBLANK(I577),"N/A",IF(((I577-H577)*24)&gt;INDEX(Dim_ServiceType!$E$2:$E$16,MATCH(E577,Dim_ServiceType!$A$2:$A$16,0)),"Yes","No"))</f>
        <v>No</v>
      </c>
      <c r="P577" s="7" t="str">
        <f t="shared" si="35"/>
        <v>Closed</v>
      </c>
      <c r="Q577" s="6">
        <v>5</v>
      </c>
      <c r="R577" s="7" t="s">
        <v>196</v>
      </c>
    </row>
    <row r="578" spans="1:18" x14ac:dyDescent="0.35">
      <c r="A578" s="6">
        <v>577</v>
      </c>
      <c r="B578" s="7" t="s">
        <v>774</v>
      </c>
      <c r="C578" s="6">
        <v>3</v>
      </c>
      <c r="D578" s="6">
        <v>8</v>
      </c>
      <c r="E578" s="6">
        <v>5</v>
      </c>
      <c r="F578" s="6">
        <v>15</v>
      </c>
      <c r="G578" s="9">
        <v>45713.303657407399</v>
      </c>
      <c r="H578" s="9">
        <v>45713.386990740699</v>
      </c>
      <c r="I578" s="9">
        <v>45713.7828240741</v>
      </c>
      <c r="J578" s="9">
        <v>45714.2828240741</v>
      </c>
      <c r="K578" s="7" t="s">
        <v>192</v>
      </c>
      <c r="L578" s="10">
        <f t="shared" ref="L578:L641" si="36">IF(ISBLANK(H578),"",(H578-G578)*24)</f>
        <v>1.9999999991850927</v>
      </c>
      <c r="M578" s="10">
        <f t="shared" ref="M578:M641" si="37">IF(ISBLANK(I578),"",(I578-H578)*24)</f>
        <v>9.5000000016298145</v>
      </c>
      <c r="N578" s="10">
        <f t="shared" ref="N578:N641" si="38">IF(ISBLANK(J578),"",(J578-G578)*24)</f>
        <v>23.500000000814907</v>
      </c>
      <c r="O578" s="7" t="str">
        <f>IF(ISBLANK(I578),"N/A",IF(((I578-H578)*24)&gt;INDEX(Dim_ServiceType!$E$2:$E$16,MATCH(E578,Dim_ServiceType!$A$2:$A$16,0)),"Yes","No"))</f>
        <v>No</v>
      </c>
      <c r="P578" s="7" t="str">
        <f t="shared" ref="P578:P641" si="39">IF(ISBLANK(H578),"Open (Unassigned)",IF(ISBLANK(I578),"In Progress",IF(ISBLANK(J578),"Resolved (Pending Closure)","Closed")))</f>
        <v>Closed</v>
      </c>
      <c r="Q578" s="6">
        <v>2</v>
      </c>
      <c r="R578" s="7" t="s">
        <v>196</v>
      </c>
    </row>
    <row r="579" spans="1:18" x14ac:dyDescent="0.35">
      <c r="A579" s="6">
        <v>578</v>
      </c>
      <c r="B579" s="7" t="s">
        <v>775</v>
      </c>
      <c r="C579" s="6">
        <v>10</v>
      </c>
      <c r="D579" s="6">
        <v>9</v>
      </c>
      <c r="E579" s="6">
        <v>5</v>
      </c>
      <c r="F579" s="6">
        <v>8</v>
      </c>
      <c r="G579" s="9">
        <v>45820.370405092603</v>
      </c>
      <c r="H579" s="9">
        <v>45821.120405092603</v>
      </c>
      <c r="I579" s="9">
        <v>45821.3829050926</v>
      </c>
      <c r="J579" s="9">
        <v>45821.5495717593</v>
      </c>
      <c r="K579" s="7" t="s">
        <v>200</v>
      </c>
      <c r="L579" s="10">
        <f t="shared" si="36"/>
        <v>18</v>
      </c>
      <c r="M579" s="10">
        <f t="shared" si="37"/>
        <v>6.2999999999301508</v>
      </c>
      <c r="N579" s="10">
        <f t="shared" si="38"/>
        <v>28.300000000745058</v>
      </c>
      <c r="O579" s="7" t="str">
        <f>IF(ISBLANK(I579),"N/A",IF(((I579-H579)*24)&gt;INDEX(Dim_ServiceType!$E$2:$E$16,MATCH(E579,Dim_ServiceType!$A$2:$A$16,0)),"Yes","No"))</f>
        <v>No</v>
      </c>
      <c r="P579" s="7" t="str">
        <f t="shared" si="39"/>
        <v>Closed</v>
      </c>
      <c r="Q579" s="6">
        <v>4</v>
      </c>
      <c r="R579" s="7" t="s">
        <v>196</v>
      </c>
    </row>
    <row r="580" spans="1:18" x14ac:dyDescent="0.35">
      <c r="A580" s="6">
        <v>579</v>
      </c>
      <c r="B580" s="7" t="s">
        <v>776</v>
      </c>
      <c r="C580" s="6">
        <v>6</v>
      </c>
      <c r="D580" s="6">
        <v>2</v>
      </c>
      <c r="E580" s="6">
        <v>11</v>
      </c>
      <c r="F580" s="6">
        <v>8</v>
      </c>
      <c r="G580" s="9">
        <v>45993.885231481501</v>
      </c>
      <c r="H580" s="9"/>
      <c r="I580" s="9"/>
      <c r="J580" s="9"/>
      <c r="K580" s="7" t="s">
        <v>207</v>
      </c>
      <c r="L580" s="10" t="str">
        <f t="shared" si="36"/>
        <v/>
      </c>
      <c r="M580" s="10" t="str">
        <f t="shared" si="37"/>
        <v/>
      </c>
      <c r="N580" s="10" t="str">
        <f t="shared" si="38"/>
        <v/>
      </c>
      <c r="O580" s="7" t="str">
        <f>IF(ISBLANK(I580),"N/A",IF(((I580-H580)*24)&gt;INDEX(Dim_ServiceType!$E$2:$E$16,MATCH(E580,Dim_ServiceType!$A$2:$A$16,0)),"Yes","No"))</f>
        <v>N/A</v>
      </c>
      <c r="P580" s="7" t="str">
        <f t="shared" si="39"/>
        <v>Open (Unassigned)</v>
      </c>
      <c r="Q580" s="6"/>
      <c r="R580" s="7"/>
    </row>
    <row r="581" spans="1:18" x14ac:dyDescent="0.35">
      <c r="A581" s="6">
        <v>580</v>
      </c>
      <c r="B581" s="7" t="s">
        <v>777</v>
      </c>
      <c r="C581" s="6">
        <v>4</v>
      </c>
      <c r="D581" s="6">
        <v>8</v>
      </c>
      <c r="E581" s="6">
        <v>9</v>
      </c>
      <c r="F581" s="6">
        <v>11</v>
      </c>
      <c r="G581" s="9">
        <v>45993.7995717593</v>
      </c>
      <c r="H581" s="9"/>
      <c r="I581" s="9"/>
      <c r="J581" s="9"/>
      <c r="K581" s="7" t="s">
        <v>195</v>
      </c>
      <c r="L581" s="10" t="str">
        <f t="shared" si="36"/>
        <v/>
      </c>
      <c r="M581" s="10" t="str">
        <f t="shared" si="37"/>
        <v/>
      </c>
      <c r="N581" s="10" t="str">
        <f t="shared" si="38"/>
        <v/>
      </c>
      <c r="O581" s="7" t="str">
        <f>IF(ISBLANK(I581),"N/A",IF(((I581-H581)*24)&gt;INDEX(Dim_ServiceType!$E$2:$E$16,MATCH(E581,Dim_ServiceType!$A$2:$A$16,0)),"Yes","No"))</f>
        <v>N/A</v>
      </c>
      <c r="P581" s="7" t="str">
        <f t="shared" si="39"/>
        <v>Open (Unassigned)</v>
      </c>
      <c r="Q581" s="6"/>
      <c r="R581" s="7"/>
    </row>
    <row r="582" spans="1:18" x14ac:dyDescent="0.35">
      <c r="A582" s="6">
        <v>581</v>
      </c>
      <c r="B582" s="7" t="s">
        <v>778</v>
      </c>
      <c r="C582" s="6">
        <v>4</v>
      </c>
      <c r="D582" s="6">
        <v>5</v>
      </c>
      <c r="E582" s="6">
        <v>14</v>
      </c>
      <c r="F582" s="6">
        <v>4</v>
      </c>
      <c r="G582" s="9">
        <v>45970.690671296303</v>
      </c>
      <c r="H582" s="9">
        <v>45971.190671296303</v>
      </c>
      <c r="I582" s="9">
        <v>45971.482337963003</v>
      </c>
      <c r="J582" s="9">
        <v>45971.503171296303</v>
      </c>
      <c r="K582" s="7" t="s">
        <v>198</v>
      </c>
      <c r="L582" s="10">
        <f t="shared" si="36"/>
        <v>12</v>
      </c>
      <c r="M582" s="10">
        <f t="shared" si="37"/>
        <v>7.0000000008149073</v>
      </c>
      <c r="N582" s="10">
        <f t="shared" si="38"/>
        <v>19.5</v>
      </c>
      <c r="O582" s="7" t="str">
        <f>IF(ISBLANK(I582),"N/A",IF(((I582-H582)*24)&gt;INDEX(Dim_ServiceType!$E$2:$E$16,MATCH(E582,Dim_ServiceType!$A$2:$A$16,0)),"Yes","No"))</f>
        <v>No</v>
      </c>
      <c r="P582" s="7" t="str">
        <f t="shared" si="39"/>
        <v>Closed</v>
      </c>
      <c r="Q582" s="6">
        <v>5</v>
      </c>
      <c r="R582" s="7" t="s">
        <v>193</v>
      </c>
    </row>
    <row r="583" spans="1:18" x14ac:dyDescent="0.35">
      <c r="A583" s="6">
        <v>582</v>
      </c>
      <c r="B583" s="7" t="s">
        <v>779</v>
      </c>
      <c r="C583" s="6">
        <v>9</v>
      </c>
      <c r="D583" s="6">
        <v>14</v>
      </c>
      <c r="E583" s="6">
        <v>13</v>
      </c>
      <c r="F583" s="6">
        <v>3</v>
      </c>
      <c r="G583" s="9">
        <v>45671.562604166698</v>
      </c>
      <c r="H583" s="9">
        <v>45672.062604166698</v>
      </c>
      <c r="I583" s="9">
        <v>45673.045937499999</v>
      </c>
      <c r="J583" s="9">
        <v>45673.2126041667</v>
      </c>
      <c r="K583" s="7" t="s">
        <v>200</v>
      </c>
      <c r="L583" s="10">
        <f t="shared" si="36"/>
        <v>12</v>
      </c>
      <c r="M583" s="10">
        <f t="shared" si="37"/>
        <v>23.599999999220017</v>
      </c>
      <c r="N583" s="10">
        <f t="shared" si="38"/>
        <v>39.600000000034925</v>
      </c>
      <c r="O583" s="7" t="str">
        <f>IF(ISBLANK(I583),"N/A",IF(((I583-H583)*24)&gt;INDEX(Dim_ServiceType!$E$2:$E$16,MATCH(E583,Dim_ServiceType!$A$2:$A$16,0)),"Yes","No"))</f>
        <v>No</v>
      </c>
      <c r="P583" s="7" t="str">
        <f t="shared" si="39"/>
        <v>Closed</v>
      </c>
      <c r="Q583" s="6">
        <v>4</v>
      </c>
      <c r="R583" s="7" t="s">
        <v>196</v>
      </c>
    </row>
    <row r="584" spans="1:18" x14ac:dyDescent="0.35">
      <c r="A584" s="6">
        <v>583</v>
      </c>
      <c r="B584" s="7" t="s">
        <v>780</v>
      </c>
      <c r="C584" s="6">
        <v>2</v>
      </c>
      <c r="D584" s="6">
        <v>12</v>
      </c>
      <c r="E584" s="6">
        <v>9</v>
      </c>
      <c r="F584" s="6">
        <v>15</v>
      </c>
      <c r="G584" s="9">
        <v>45786.497175925899</v>
      </c>
      <c r="H584" s="9">
        <v>45786.5180092593</v>
      </c>
      <c r="I584" s="9">
        <v>45790.3305092593</v>
      </c>
      <c r="J584" s="9">
        <v>45791.3305092593</v>
      </c>
      <c r="K584" s="7" t="s">
        <v>192</v>
      </c>
      <c r="L584" s="10">
        <f t="shared" si="36"/>
        <v>0.50000000162981451</v>
      </c>
      <c r="M584" s="10">
        <f t="shared" si="37"/>
        <v>91.5</v>
      </c>
      <c r="N584" s="10">
        <f t="shared" si="38"/>
        <v>116.00000000162981</v>
      </c>
      <c r="O584" s="7" t="str">
        <f>IF(ISBLANK(I584),"N/A",IF(((I584-H584)*24)&gt;INDEX(Dim_ServiceType!$E$2:$E$16,MATCH(E584,Dim_ServiceType!$A$2:$A$16,0)),"Yes","No"))</f>
        <v>Yes</v>
      </c>
      <c r="P584" s="7" t="str">
        <f t="shared" si="39"/>
        <v>Closed</v>
      </c>
      <c r="Q584" s="6">
        <v>3</v>
      </c>
      <c r="R584" s="7" t="s">
        <v>193</v>
      </c>
    </row>
    <row r="585" spans="1:18" x14ac:dyDescent="0.35">
      <c r="A585" s="6">
        <v>584</v>
      </c>
      <c r="B585" s="7" t="s">
        <v>781</v>
      </c>
      <c r="C585" s="6">
        <v>1</v>
      </c>
      <c r="D585" s="6">
        <v>4</v>
      </c>
      <c r="E585" s="6">
        <v>7</v>
      </c>
      <c r="F585" s="6">
        <v>14</v>
      </c>
      <c r="G585" s="9">
        <v>45887.929027777798</v>
      </c>
      <c r="H585" s="9">
        <v>45888.054027777798</v>
      </c>
      <c r="I585" s="9">
        <v>45888.949861111098</v>
      </c>
      <c r="J585" s="9">
        <v>45888.991527777798</v>
      </c>
      <c r="K585" s="7" t="s">
        <v>200</v>
      </c>
      <c r="L585" s="10">
        <f t="shared" si="36"/>
        <v>3</v>
      </c>
      <c r="M585" s="10">
        <f t="shared" si="37"/>
        <v>21.499999999185093</v>
      </c>
      <c r="N585" s="10">
        <f t="shared" si="38"/>
        <v>25.5</v>
      </c>
      <c r="O585" s="7" t="str">
        <f>IF(ISBLANK(I585),"N/A",IF(((I585-H585)*24)&gt;INDEX(Dim_ServiceType!$E$2:$E$16,MATCH(E585,Dim_ServiceType!$A$2:$A$16,0)),"Yes","No"))</f>
        <v>No</v>
      </c>
      <c r="P585" s="7" t="str">
        <f t="shared" si="39"/>
        <v>Closed</v>
      </c>
      <c r="Q585" s="6">
        <v>3</v>
      </c>
      <c r="R585" s="7" t="s">
        <v>196</v>
      </c>
    </row>
    <row r="586" spans="1:18" x14ac:dyDescent="0.35">
      <c r="A586" s="6">
        <v>585</v>
      </c>
      <c r="B586" s="7" t="s">
        <v>782</v>
      </c>
      <c r="C586" s="6">
        <v>13</v>
      </c>
      <c r="D586" s="6">
        <v>13</v>
      </c>
      <c r="E586" s="6">
        <v>5</v>
      </c>
      <c r="F586" s="6">
        <v>5</v>
      </c>
      <c r="G586" s="9">
        <v>45798.941956018498</v>
      </c>
      <c r="H586" s="9">
        <v>45799.191956018498</v>
      </c>
      <c r="I586" s="9">
        <v>45799.416956018496</v>
      </c>
      <c r="J586" s="9">
        <v>45799.666956018496</v>
      </c>
      <c r="K586" s="7" t="s">
        <v>192</v>
      </c>
      <c r="L586" s="10">
        <f t="shared" si="36"/>
        <v>6</v>
      </c>
      <c r="M586" s="10">
        <f t="shared" si="37"/>
        <v>5.3999999999650754</v>
      </c>
      <c r="N586" s="10">
        <f t="shared" si="38"/>
        <v>17.399999999965075</v>
      </c>
      <c r="O586" s="7" t="str">
        <f>IF(ISBLANK(I586),"N/A",IF(((I586-H586)*24)&gt;INDEX(Dim_ServiceType!$E$2:$E$16,MATCH(E586,Dim_ServiceType!$A$2:$A$16,0)),"Yes","No"))</f>
        <v>No</v>
      </c>
      <c r="P586" s="7" t="str">
        <f t="shared" si="39"/>
        <v>Closed</v>
      </c>
      <c r="Q586" s="6">
        <v>3</v>
      </c>
      <c r="R586" s="7" t="s">
        <v>196</v>
      </c>
    </row>
    <row r="587" spans="1:18" x14ac:dyDescent="0.35">
      <c r="A587" s="6">
        <v>586</v>
      </c>
      <c r="B587" s="7" t="s">
        <v>783</v>
      </c>
      <c r="C587" s="6">
        <v>2</v>
      </c>
      <c r="D587" s="6">
        <v>6</v>
      </c>
      <c r="E587" s="6">
        <v>3</v>
      </c>
      <c r="F587" s="6">
        <v>15</v>
      </c>
      <c r="G587" s="9">
        <v>46002.931053240703</v>
      </c>
      <c r="H587" s="9"/>
      <c r="I587" s="9"/>
      <c r="J587" s="9"/>
      <c r="K587" s="7" t="s">
        <v>195</v>
      </c>
      <c r="L587" s="10" t="str">
        <f t="shared" si="36"/>
        <v/>
      </c>
      <c r="M587" s="10" t="str">
        <f t="shared" si="37"/>
        <v/>
      </c>
      <c r="N587" s="10" t="str">
        <f t="shared" si="38"/>
        <v/>
      </c>
      <c r="O587" s="7" t="str">
        <f>IF(ISBLANK(I587),"N/A",IF(((I587-H587)*24)&gt;INDEX(Dim_ServiceType!$E$2:$E$16,MATCH(E587,Dim_ServiceType!$A$2:$A$16,0)),"Yes","No"))</f>
        <v>N/A</v>
      </c>
      <c r="P587" s="7" t="str">
        <f t="shared" si="39"/>
        <v>Open (Unassigned)</v>
      </c>
      <c r="Q587" s="6"/>
      <c r="R587" s="7"/>
    </row>
    <row r="588" spans="1:18" x14ac:dyDescent="0.35">
      <c r="A588" s="6">
        <v>587</v>
      </c>
      <c r="B588" s="7" t="s">
        <v>784</v>
      </c>
      <c r="C588" s="6">
        <v>4</v>
      </c>
      <c r="D588" s="6">
        <v>13</v>
      </c>
      <c r="E588" s="6">
        <v>8</v>
      </c>
      <c r="F588" s="6">
        <v>13</v>
      </c>
      <c r="G588" s="9">
        <v>45928.0449421296</v>
      </c>
      <c r="H588" s="9">
        <v>45928.2116087963</v>
      </c>
      <c r="I588" s="9">
        <v>45928.474108796298</v>
      </c>
      <c r="J588" s="9">
        <v>45928.724108796298</v>
      </c>
      <c r="K588" s="7" t="s">
        <v>207</v>
      </c>
      <c r="L588" s="10">
        <f t="shared" si="36"/>
        <v>4.0000000008149073</v>
      </c>
      <c r="M588" s="10">
        <f t="shared" si="37"/>
        <v>6.2999999999301508</v>
      </c>
      <c r="N588" s="10">
        <f t="shared" si="38"/>
        <v>16.300000000745058</v>
      </c>
      <c r="O588" s="7" t="str">
        <f>IF(ISBLANK(I588),"N/A",IF(((I588-H588)*24)&gt;INDEX(Dim_ServiceType!$E$2:$E$16,MATCH(E588,Dim_ServiceType!$A$2:$A$16,0)),"Yes","No"))</f>
        <v>Yes</v>
      </c>
      <c r="P588" s="7" t="str">
        <f t="shared" si="39"/>
        <v>Closed</v>
      </c>
      <c r="Q588" s="6">
        <v>4</v>
      </c>
      <c r="R588" s="7" t="s">
        <v>196</v>
      </c>
    </row>
    <row r="589" spans="1:18" x14ac:dyDescent="0.35">
      <c r="A589" s="6">
        <v>588</v>
      </c>
      <c r="B589" s="7" t="s">
        <v>785</v>
      </c>
      <c r="C589" s="6">
        <v>4</v>
      </c>
      <c r="D589" s="6">
        <v>15</v>
      </c>
      <c r="E589" s="6">
        <v>12</v>
      </c>
      <c r="F589" s="6">
        <v>11</v>
      </c>
      <c r="G589" s="9">
        <v>45972.770173611098</v>
      </c>
      <c r="H589" s="9">
        <v>45973.020173611098</v>
      </c>
      <c r="I589" s="9"/>
      <c r="J589" s="9"/>
      <c r="K589" s="7" t="s">
        <v>198</v>
      </c>
      <c r="L589" s="10">
        <f t="shared" si="36"/>
        <v>6</v>
      </c>
      <c r="M589" s="10" t="str">
        <f t="shared" si="37"/>
        <v/>
      </c>
      <c r="N589" s="10" t="str">
        <f t="shared" si="38"/>
        <v/>
      </c>
      <c r="O589" s="7" t="str">
        <f>IF(ISBLANK(I589),"N/A",IF(((I589-H589)*24)&gt;INDEX(Dim_ServiceType!$E$2:$E$16,MATCH(E589,Dim_ServiceType!$A$2:$A$16,0)),"Yes","No"))</f>
        <v>N/A</v>
      </c>
      <c r="P589" s="7" t="str">
        <f t="shared" si="39"/>
        <v>In Progress</v>
      </c>
      <c r="Q589" s="6"/>
      <c r="R589" s="7"/>
    </row>
    <row r="590" spans="1:18" x14ac:dyDescent="0.35">
      <c r="A590" s="6">
        <v>589</v>
      </c>
      <c r="B590" s="7" t="s">
        <v>786</v>
      </c>
      <c r="C590" s="6">
        <v>13</v>
      </c>
      <c r="D590" s="6">
        <v>3</v>
      </c>
      <c r="E590" s="6">
        <v>7</v>
      </c>
      <c r="F590" s="6">
        <v>4</v>
      </c>
      <c r="G590" s="9">
        <v>45938.643344907403</v>
      </c>
      <c r="H590" s="9">
        <v>45938.726678240702</v>
      </c>
      <c r="I590" s="9"/>
      <c r="J590" s="9"/>
      <c r="K590" s="7" t="s">
        <v>200</v>
      </c>
      <c r="L590" s="10">
        <f t="shared" si="36"/>
        <v>1.9999999991850927</v>
      </c>
      <c r="M590" s="10" t="str">
        <f t="shared" si="37"/>
        <v/>
      </c>
      <c r="N590" s="10" t="str">
        <f t="shared" si="38"/>
        <v/>
      </c>
      <c r="O590" s="7" t="str">
        <f>IF(ISBLANK(I590),"N/A",IF(((I590-H590)*24)&gt;INDEX(Dim_ServiceType!$E$2:$E$16,MATCH(E590,Dim_ServiceType!$A$2:$A$16,0)),"Yes","No"))</f>
        <v>N/A</v>
      </c>
      <c r="P590" s="7" t="str">
        <f t="shared" si="39"/>
        <v>In Progress</v>
      </c>
      <c r="Q590" s="6"/>
      <c r="R590" s="7"/>
    </row>
    <row r="591" spans="1:18" x14ac:dyDescent="0.35">
      <c r="A591" s="6">
        <v>590</v>
      </c>
      <c r="B591" s="7" t="s">
        <v>787</v>
      </c>
      <c r="C591" s="6">
        <v>5</v>
      </c>
      <c r="D591" s="6">
        <v>15</v>
      </c>
      <c r="E591" s="6">
        <v>15</v>
      </c>
      <c r="F591" s="6">
        <v>6</v>
      </c>
      <c r="G591" s="9">
        <v>45776.7960648148</v>
      </c>
      <c r="H591" s="9">
        <v>45776.962731481501</v>
      </c>
      <c r="I591" s="9">
        <v>45779.871064814797</v>
      </c>
      <c r="J591" s="9">
        <v>45780.371064814797</v>
      </c>
      <c r="K591" s="7" t="s">
        <v>207</v>
      </c>
      <c r="L591" s="10">
        <f t="shared" si="36"/>
        <v>4.0000000008149073</v>
      </c>
      <c r="M591" s="10">
        <f t="shared" si="37"/>
        <v>69.799999999115244</v>
      </c>
      <c r="N591" s="10">
        <f t="shared" si="38"/>
        <v>85.799999999930151</v>
      </c>
      <c r="O591" s="7" t="str">
        <f>IF(ISBLANK(I591),"N/A",IF(((I591-H591)*24)&gt;INDEX(Dim_ServiceType!$E$2:$E$16,MATCH(E591,Dim_ServiceType!$A$2:$A$16,0)),"Yes","No"))</f>
        <v>Yes</v>
      </c>
      <c r="P591" s="7" t="str">
        <f t="shared" si="39"/>
        <v>Closed</v>
      </c>
      <c r="Q591" s="6">
        <v>4</v>
      </c>
      <c r="R591" s="7" t="s">
        <v>196</v>
      </c>
    </row>
    <row r="592" spans="1:18" x14ac:dyDescent="0.35">
      <c r="A592" s="6">
        <v>591</v>
      </c>
      <c r="B592" s="7" t="s">
        <v>788</v>
      </c>
      <c r="C592" s="6">
        <v>5</v>
      </c>
      <c r="D592" s="6">
        <v>10</v>
      </c>
      <c r="E592" s="6">
        <v>12</v>
      </c>
      <c r="F592" s="6">
        <v>9</v>
      </c>
      <c r="G592" s="9">
        <v>45695.7359027778</v>
      </c>
      <c r="H592" s="9">
        <v>45696.2359027778</v>
      </c>
      <c r="I592" s="9">
        <v>45697.227569444498</v>
      </c>
      <c r="J592" s="9">
        <v>45697.727569444498</v>
      </c>
      <c r="K592" s="7" t="s">
        <v>195</v>
      </c>
      <c r="L592" s="10">
        <f t="shared" si="36"/>
        <v>12</v>
      </c>
      <c r="M592" s="10">
        <f t="shared" si="37"/>
        <v>23.800000000745058</v>
      </c>
      <c r="N592" s="10">
        <f t="shared" si="38"/>
        <v>47.800000000745058</v>
      </c>
      <c r="O592" s="7" t="str">
        <f>IF(ISBLANK(I592),"N/A",IF(((I592-H592)*24)&gt;INDEX(Dim_ServiceType!$E$2:$E$16,MATCH(E592,Dim_ServiceType!$A$2:$A$16,0)),"Yes","No"))</f>
        <v>No</v>
      </c>
      <c r="P592" s="7" t="str">
        <f t="shared" si="39"/>
        <v>Closed</v>
      </c>
      <c r="Q592" s="6">
        <v>4</v>
      </c>
      <c r="R592" s="7" t="s">
        <v>196</v>
      </c>
    </row>
    <row r="593" spans="1:18" x14ac:dyDescent="0.35">
      <c r="A593" s="6">
        <v>592</v>
      </c>
      <c r="B593" s="7" t="s">
        <v>789</v>
      </c>
      <c r="C593" s="6">
        <v>2</v>
      </c>
      <c r="D593" s="6">
        <v>15</v>
      </c>
      <c r="E593" s="6">
        <v>10</v>
      </c>
      <c r="F593" s="6">
        <v>2</v>
      </c>
      <c r="G593" s="9">
        <v>45733.8468981482</v>
      </c>
      <c r="H593" s="9">
        <v>45734.0968981482</v>
      </c>
      <c r="I593" s="9">
        <v>45734.251064814802</v>
      </c>
      <c r="J593" s="9">
        <v>45734.271898148101</v>
      </c>
      <c r="K593" s="7" t="s">
        <v>198</v>
      </c>
      <c r="L593" s="10">
        <f t="shared" si="36"/>
        <v>6</v>
      </c>
      <c r="M593" s="10">
        <f t="shared" si="37"/>
        <v>3.6999999984400347</v>
      </c>
      <c r="N593" s="10">
        <f t="shared" si="38"/>
        <v>10.199999997625127</v>
      </c>
      <c r="O593" s="7" t="str">
        <f>IF(ISBLANK(I593),"N/A",IF(((I593-H593)*24)&gt;INDEX(Dim_ServiceType!$E$2:$E$16,MATCH(E593,Dim_ServiceType!$A$2:$A$16,0)),"Yes","No"))</f>
        <v>No</v>
      </c>
      <c r="P593" s="7" t="str">
        <f t="shared" si="39"/>
        <v>Closed</v>
      </c>
      <c r="Q593" s="6">
        <v>1</v>
      </c>
      <c r="R593" s="7" t="s">
        <v>196</v>
      </c>
    </row>
    <row r="594" spans="1:18" x14ac:dyDescent="0.35">
      <c r="A594" s="6">
        <v>593</v>
      </c>
      <c r="B594" s="7" t="s">
        <v>790</v>
      </c>
      <c r="C594" s="6">
        <v>13</v>
      </c>
      <c r="D594" s="6">
        <v>13</v>
      </c>
      <c r="E594" s="6">
        <v>3</v>
      </c>
      <c r="F594" s="6">
        <v>6</v>
      </c>
      <c r="G594" s="9">
        <v>45779.988402777803</v>
      </c>
      <c r="H594" s="9">
        <v>45780.009236111102</v>
      </c>
      <c r="I594" s="9">
        <v>45780.167569444398</v>
      </c>
      <c r="J594" s="9">
        <v>45780.334236111099</v>
      </c>
      <c r="K594" s="7" t="s">
        <v>207</v>
      </c>
      <c r="L594" s="10">
        <f t="shared" si="36"/>
        <v>0.49999999918509275</v>
      </c>
      <c r="M594" s="10">
        <f t="shared" si="37"/>
        <v>3.7999999991152436</v>
      </c>
      <c r="N594" s="10">
        <f t="shared" si="38"/>
        <v>8.2999999991152436</v>
      </c>
      <c r="O594" s="7" t="str">
        <f>IF(ISBLANK(I594),"N/A",IF(((I594-H594)*24)&gt;INDEX(Dim_ServiceType!$E$2:$E$16,MATCH(E594,Dim_ServiceType!$A$2:$A$16,0)),"Yes","No"))</f>
        <v>No</v>
      </c>
      <c r="P594" s="7" t="str">
        <f t="shared" si="39"/>
        <v>Closed</v>
      </c>
      <c r="Q594" s="6">
        <v>4</v>
      </c>
      <c r="R594" s="7" t="s">
        <v>196</v>
      </c>
    </row>
    <row r="595" spans="1:18" x14ac:dyDescent="0.35">
      <c r="A595" s="6">
        <v>594</v>
      </c>
      <c r="B595" s="7" t="s">
        <v>791</v>
      </c>
      <c r="C595" s="6">
        <v>11</v>
      </c>
      <c r="D595" s="6">
        <v>3</v>
      </c>
      <c r="E595" s="6">
        <v>5</v>
      </c>
      <c r="F595" s="6">
        <v>12</v>
      </c>
      <c r="G595" s="9">
        <v>45747.601087962998</v>
      </c>
      <c r="H595" s="9">
        <v>45747.621921296297</v>
      </c>
      <c r="I595" s="9">
        <v>45748.267754629604</v>
      </c>
      <c r="J595" s="9">
        <v>45748.767754629604</v>
      </c>
      <c r="K595" s="7" t="s">
        <v>195</v>
      </c>
      <c r="L595" s="10">
        <f t="shared" si="36"/>
        <v>0.49999999918509275</v>
      </c>
      <c r="M595" s="10">
        <f t="shared" si="37"/>
        <v>15.499999999359716</v>
      </c>
      <c r="N595" s="10">
        <f t="shared" si="38"/>
        <v>27.999999998544808</v>
      </c>
      <c r="O595" s="7" t="str">
        <f>IF(ISBLANK(I595),"N/A",IF(((I595-H595)*24)&gt;INDEX(Dim_ServiceType!$E$2:$E$16,MATCH(E595,Dim_ServiceType!$A$2:$A$16,0)),"Yes","No"))</f>
        <v>Yes</v>
      </c>
      <c r="P595" s="7" t="str">
        <f t="shared" si="39"/>
        <v>Closed</v>
      </c>
      <c r="Q595" s="6">
        <v>1</v>
      </c>
      <c r="R595" s="7" t="s">
        <v>196</v>
      </c>
    </row>
    <row r="596" spans="1:18" x14ac:dyDescent="0.35">
      <c r="A596" s="6">
        <v>595</v>
      </c>
      <c r="B596" s="7" t="s">
        <v>792</v>
      </c>
      <c r="C596" s="6">
        <v>3</v>
      </c>
      <c r="D596" s="6">
        <v>6</v>
      </c>
      <c r="E596" s="6">
        <v>14</v>
      </c>
      <c r="F596" s="6">
        <v>3</v>
      </c>
      <c r="G596" s="9">
        <v>45928.817291666703</v>
      </c>
      <c r="H596" s="9">
        <v>45929.567291666703</v>
      </c>
      <c r="I596" s="9">
        <v>45929.696458333303</v>
      </c>
      <c r="J596" s="9">
        <v>45929.863125000003</v>
      </c>
      <c r="K596" s="7" t="s">
        <v>192</v>
      </c>
      <c r="L596" s="10">
        <f t="shared" si="36"/>
        <v>18</v>
      </c>
      <c r="M596" s="10">
        <f t="shared" si="37"/>
        <v>3.0999999984051101</v>
      </c>
      <c r="N596" s="10">
        <f t="shared" si="38"/>
        <v>25.099999999220017</v>
      </c>
      <c r="O596" s="7" t="str">
        <f>IF(ISBLANK(I596),"N/A",IF(((I596-H596)*24)&gt;INDEX(Dim_ServiceType!$E$2:$E$16,MATCH(E596,Dim_ServiceType!$A$2:$A$16,0)),"Yes","No"))</f>
        <v>No</v>
      </c>
      <c r="P596" s="7" t="str">
        <f t="shared" si="39"/>
        <v>Closed</v>
      </c>
      <c r="Q596" s="6">
        <v>5</v>
      </c>
      <c r="R596" s="7" t="s">
        <v>196</v>
      </c>
    </row>
    <row r="597" spans="1:18" x14ac:dyDescent="0.35">
      <c r="A597" s="6">
        <v>596</v>
      </c>
      <c r="B597" s="7" t="s">
        <v>793</v>
      </c>
      <c r="C597" s="6">
        <v>1</v>
      </c>
      <c r="D597" s="6">
        <v>9</v>
      </c>
      <c r="E597" s="6">
        <v>1</v>
      </c>
      <c r="F597" s="6">
        <v>14</v>
      </c>
      <c r="G597" s="9">
        <v>45975.856620370403</v>
      </c>
      <c r="H597" s="9">
        <v>45976.023287037002</v>
      </c>
      <c r="I597" s="9">
        <v>45976.235787037003</v>
      </c>
      <c r="J597" s="9">
        <v>45976.402453703697</v>
      </c>
      <c r="K597" s="7" t="s">
        <v>198</v>
      </c>
      <c r="L597" s="10">
        <f t="shared" si="36"/>
        <v>3.9999999983701855</v>
      </c>
      <c r="M597" s="10">
        <f t="shared" si="37"/>
        <v>5.1000000000349246</v>
      </c>
      <c r="N597" s="10">
        <f t="shared" si="38"/>
        <v>13.099999999045394</v>
      </c>
      <c r="O597" s="7" t="str">
        <f>IF(ISBLANK(I597),"N/A",IF(((I597-H597)*24)&gt;INDEX(Dim_ServiceType!$E$2:$E$16,MATCH(E597,Dim_ServiceType!$A$2:$A$16,0)),"Yes","No"))</f>
        <v>Yes</v>
      </c>
      <c r="P597" s="7" t="str">
        <f t="shared" si="39"/>
        <v>Closed</v>
      </c>
      <c r="Q597" s="6">
        <v>5</v>
      </c>
      <c r="R597" s="7" t="s">
        <v>196</v>
      </c>
    </row>
    <row r="598" spans="1:18" x14ac:dyDescent="0.35">
      <c r="A598" s="6">
        <v>597</v>
      </c>
      <c r="B598" s="7" t="s">
        <v>794</v>
      </c>
      <c r="C598" s="6">
        <v>15</v>
      </c>
      <c r="D598" s="6">
        <v>13</v>
      </c>
      <c r="E598" s="6">
        <v>6</v>
      </c>
      <c r="F598" s="6">
        <v>13</v>
      </c>
      <c r="G598" s="9">
        <v>45702.006030092598</v>
      </c>
      <c r="H598" s="9">
        <v>45702.256030092598</v>
      </c>
      <c r="I598" s="9">
        <v>45703.1393634259</v>
      </c>
      <c r="J598" s="9">
        <v>45704.1393634259</v>
      </c>
      <c r="K598" s="7" t="s">
        <v>200</v>
      </c>
      <c r="L598" s="10">
        <f t="shared" si="36"/>
        <v>6</v>
      </c>
      <c r="M598" s="10">
        <f t="shared" si="37"/>
        <v>21.199999999254942</v>
      </c>
      <c r="N598" s="10">
        <f t="shared" si="38"/>
        <v>51.199999999254942</v>
      </c>
      <c r="O598" s="7" t="str">
        <f>IF(ISBLANK(I598),"N/A",IF(((I598-H598)*24)&gt;INDEX(Dim_ServiceType!$E$2:$E$16,MATCH(E598,Dim_ServiceType!$A$2:$A$16,0)),"Yes","No"))</f>
        <v>No</v>
      </c>
      <c r="P598" s="7" t="str">
        <f t="shared" si="39"/>
        <v>Closed</v>
      </c>
      <c r="Q598" s="6">
        <v>5</v>
      </c>
      <c r="R598" s="7" t="s">
        <v>196</v>
      </c>
    </row>
    <row r="599" spans="1:18" x14ac:dyDescent="0.35">
      <c r="A599" s="6">
        <v>598</v>
      </c>
      <c r="B599" s="7" t="s">
        <v>795</v>
      </c>
      <c r="C599" s="6">
        <v>2</v>
      </c>
      <c r="D599" s="6">
        <v>11</v>
      </c>
      <c r="E599" s="6">
        <v>4</v>
      </c>
      <c r="F599" s="6">
        <v>4</v>
      </c>
      <c r="G599" s="9">
        <v>45977.946863425903</v>
      </c>
      <c r="H599" s="9">
        <v>45978.446863425903</v>
      </c>
      <c r="I599" s="9"/>
      <c r="J599" s="9"/>
      <c r="K599" s="7" t="s">
        <v>195</v>
      </c>
      <c r="L599" s="10">
        <f t="shared" si="36"/>
        <v>12</v>
      </c>
      <c r="M599" s="10" t="str">
        <f t="shared" si="37"/>
        <v/>
      </c>
      <c r="N599" s="10" t="str">
        <f t="shared" si="38"/>
        <v/>
      </c>
      <c r="O599" s="7" t="str">
        <f>IF(ISBLANK(I599),"N/A",IF(((I599-H599)*24)&gt;INDEX(Dim_ServiceType!$E$2:$E$16,MATCH(E599,Dim_ServiceType!$A$2:$A$16,0)),"Yes","No"))</f>
        <v>N/A</v>
      </c>
      <c r="P599" s="7" t="str">
        <f t="shared" si="39"/>
        <v>In Progress</v>
      </c>
      <c r="Q599" s="6"/>
      <c r="R599" s="7"/>
    </row>
    <row r="600" spans="1:18" x14ac:dyDescent="0.35">
      <c r="A600" s="6">
        <v>599</v>
      </c>
      <c r="B600" s="7" t="s">
        <v>796</v>
      </c>
      <c r="C600" s="6">
        <v>12</v>
      </c>
      <c r="D600" s="6">
        <v>15</v>
      </c>
      <c r="E600" s="6">
        <v>2</v>
      </c>
      <c r="F600" s="6">
        <v>9</v>
      </c>
      <c r="G600" s="9">
        <v>45695.315787036998</v>
      </c>
      <c r="H600" s="9">
        <v>45695.815787036998</v>
      </c>
      <c r="I600" s="9">
        <v>45696.124120370398</v>
      </c>
      <c r="J600" s="9">
        <v>45696.624120370398</v>
      </c>
      <c r="K600" s="7" t="s">
        <v>207</v>
      </c>
      <c r="L600" s="10">
        <f t="shared" si="36"/>
        <v>12</v>
      </c>
      <c r="M600" s="10">
        <f t="shared" si="37"/>
        <v>7.4000000015948899</v>
      </c>
      <c r="N600" s="10">
        <f t="shared" si="38"/>
        <v>31.40000000159489</v>
      </c>
      <c r="O600" s="7" t="str">
        <f>IF(ISBLANK(I600),"N/A",IF(((I600-H600)*24)&gt;INDEX(Dim_ServiceType!$E$2:$E$16,MATCH(E600,Dim_ServiceType!$A$2:$A$16,0)),"Yes","No"))</f>
        <v>Yes</v>
      </c>
      <c r="P600" s="7" t="str">
        <f t="shared" si="39"/>
        <v>Closed</v>
      </c>
      <c r="Q600" s="6">
        <v>4</v>
      </c>
      <c r="R600" s="7" t="s">
        <v>196</v>
      </c>
    </row>
    <row r="601" spans="1:18" x14ac:dyDescent="0.35">
      <c r="A601" s="6">
        <v>600</v>
      </c>
      <c r="B601" s="7" t="s">
        <v>797</v>
      </c>
      <c r="C601" s="6">
        <v>11</v>
      </c>
      <c r="D601" s="6">
        <v>1</v>
      </c>
      <c r="E601" s="6">
        <v>11</v>
      </c>
      <c r="F601" s="6">
        <v>8</v>
      </c>
      <c r="G601" s="9">
        <v>45813.696134259299</v>
      </c>
      <c r="H601" s="9">
        <v>45813.862800925897</v>
      </c>
      <c r="I601" s="9">
        <v>45814.262800925899</v>
      </c>
      <c r="J601" s="9">
        <v>45814.512800925899</v>
      </c>
      <c r="K601" s="7" t="s">
        <v>207</v>
      </c>
      <c r="L601" s="10">
        <f t="shared" si="36"/>
        <v>3.9999999983701855</v>
      </c>
      <c r="M601" s="10">
        <f t="shared" si="37"/>
        <v>9.6000000000349246</v>
      </c>
      <c r="N601" s="10">
        <f t="shared" si="38"/>
        <v>19.59999999840511</v>
      </c>
      <c r="O601" s="7" t="str">
        <f>IF(ISBLANK(I601),"N/A",IF(((I601-H601)*24)&gt;INDEX(Dim_ServiceType!$E$2:$E$16,MATCH(E601,Dim_ServiceType!$A$2:$A$16,0)),"Yes","No"))</f>
        <v>No</v>
      </c>
      <c r="P601" s="7" t="str">
        <f t="shared" si="39"/>
        <v>Closed</v>
      </c>
      <c r="Q601" s="6">
        <v>4</v>
      </c>
      <c r="R601" s="7" t="s">
        <v>196</v>
      </c>
    </row>
    <row r="602" spans="1:18" x14ac:dyDescent="0.35">
      <c r="A602" s="6">
        <v>601</v>
      </c>
      <c r="B602" s="7" t="s">
        <v>798</v>
      </c>
      <c r="C602" s="6">
        <v>3</v>
      </c>
      <c r="D602" s="6">
        <v>12</v>
      </c>
      <c r="E602" s="6">
        <v>8</v>
      </c>
      <c r="F602" s="6">
        <v>4</v>
      </c>
      <c r="G602" s="9">
        <v>45735.3031597222</v>
      </c>
      <c r="H602" s="9">
        <v>45735.3448263889</v>
      </c>
      <c r="I602" s="9">
        <v>45735.540659722203</v>
      </c>
      <c r="J602" s="9">
        <v>45735.790659722203</v>
      </c>
      <c r="K602" s="7" t="s">
        <v>195</v>
      </c>
      <c r="L602" s="10">
        <f t="shared" si="36"/>
        <v>1.0000000008149073</v>
      </c>
      <c r="M602" s="10">
        <f t="shared" si="37"/>
        <v>4.6999999992549419</v>
      </c>
      <c r="N602" s="10">
        <f t="shared" si="38"/>
        <v>11.700000000069849</v>
      </c>
      <c r="O602" s="7" t="str">
        <f>IF(ISBLANK(I602),"N/A",IF(((I602-H602)*24)&gt;INDEX(Dim_ServiceType!$E$2:$E$16,MATCH(E602,Dim_ServiceType!$A$2:$A$16,0)),"Yes","No"))</f>
        <v>No</v>
      </c>
      <c r="P602" s="7" t="str">
        <f t="shared" si="39"/>
        <v>Closed</v>
      </c>
      <c r="Q602" s="6">
        <v>1</v>
      </c>
      <c r="R602" s="7" t="s">
        <v>196</v>
      </c>
    </row>
    <row r="603" spans="1:18" x14ac:dyDescent="0.35">
      <c r="A603" s="6">
        <v>602</v>
      </c>
      <c r="B603" s="7" t="s">
        <v>799</v>
      </c>
      <c r="C603" s="6">
        <v>4</v>
      </c>
      <c r="D603" s="6">
        <v>12</v>
      </c>
      <c r="E603" s="6">
        <v>7</v>
      </c>
      <c r="F603" s="6">
        <v>4</v>
      </c>
      <c r="G603" s="9">
        <v>45806.355787036999</v>
      </c>
      <c r="H603" s="9">
        <v>45807.355787036999</v>
      </c>
      <c r="I603" s="9">
        <v>45807.680787037003</v>
      </c>
      <c r="J603" s="9">
        <v>45807.847453703696</v>
      </c>
      <c r="K603" s="7" t="s">
        <v>198</v>
      </c>
      <c r="L603" s="10">
        <f t="shared" si="36"/>
        <v>24</v>
      </c>
      <c r="M603" s="10">
        <f t="shared" si="37"/>
        <v>7.8000000001047738</v>
      </c>
      <c r="N603" s="10">
        <f t="shared" si="38"/>
        <v>35.800000000745058</v>
      </c>
      <c r="O603" s="7" t="str">
        <f>IF(ISBLANK(I603),"N/A",IF(((I603-H603)*24)&gt;INDEX(Dim_ServiceType!$E$2:$E$16,MATCH(E603,Dim_ServiceType!$A$2:$A$16,0)),"Yes","No"))</f>
        <v>No</v>
      </c>
      <c r="P603" s="7" t="str">
        <f t="shared" si="39"/>
        <v>Closed</v>
      </c>
      <c r="Q603" s="6">
        <v>5</v>
      </c>
      <c r="R603" s="7" t="s">
        <v>196</v>
      </c>
    </row>
    <row r="604" spans="1:18" x14ac:dyDescent="0.35">
      <c r="A604" s="6">
        <v>603</v>
      </c>
      <c r="B604" s="7" t="s">
        <v>800</v>
      </c>
      <c r="C604" s="6">
        <v>3</v>
      </c>
      <c r="D604" s="6">
        <v>10</v>
      </c>
      <c r="E604" s="6">
        <v>2</v>
      </c>
      <c r="F604" s="6">
        <v>5</v>
      </c>
      <c r="G604" s="9">
        <v>45862.629537036999</v>
      </c>
      <c r="H604" s="9">
        <v>45863.379537036999</v>
      </c>
      <c r="I604" s="9">
        <v>45863.5878703704</v>
      </c>
      <c r="J604" s="9">
        <v>45864.5878703704</v>
      </c>
      <c r="K604" s="7" t="s">
        <v>200</v>
      </c>
      <c r="L604" s="10">
        <f t="shared" si="36"/>
        <v>18</v>
      </c>
      <c r="M604" s="10">
        <f t="shared" si="37"/>
        <v>5.0000000016298145</v>
      </c>
      <c r="N604" s="10">
        <f t="shared" si="38"/>
        <v>47.000000001629815</v>
      </c>
      <c r="O604" s="7" t="str">
        <f>IF(ISBLANK(I604),"N/A",IF(((I604-H604)*24)&gt;INDEX(Dim_ServiceType!$E$2:$E$16,MATCH(E604,Dim_ServiceType!$A$2:$A$16,0)),"Yes","No"))</f>
        <v>No</v>
      </c>
      <c r="P604" s="7" t="str">
        <f t="shared" si="39"/>
        <v>Closed</v>
      </c>
      <c r="Q604" s="6">
        <v>2</v>
      </c>
      <c r="R604" s="7" t="s">
        <v>196</v>
      </c>
    </row>
    <row r="605" spans="1:18" x14ac:dyDescent="0.35">
      <c r="A605" s="6">
        <v>604</v>
      </c>
      <c r="B605" s="7" t="s">
        <v>801</v>
      </c>
      <c r="C605" s="6">
        <v>6</v>
      </c>
      <c r="D605" s="6">
        <v>13</v>
      </c>
      <c r="E605" s="6">
        <v>7</v>
      </c>
      <c r="F605" s="6">
        <v>5</v>
      </c>
      <c r="G605" s="9">
        <v>45693.077349537001</v>
      </c>
      <c r="H605" s="9">
        <v>45694.077349537001</v>
      </c>
      <c r="I605" s="9">
        <v>45694.756516203699</v>
      </c>
      <c r="J605" s="9">
        <v>45694.839849536998</v>
      </c>
      <c r="K605" s="7" t="s">
        <v>207</v>
      </c>
      <c r="L605" s="10">
        <f t="shared" si="36"/>
        <v>24</v>
      </c>
      <c r="M605" s="10">
        <f t="shared" si="37"/>
        <v>16.300000000745058</v>
      </c>
      <c r="N605" s="10">
        <f t="shared" si="38"/>
        <v>42.299999999930151</v>
      </c>
      <c r="O605" s="7" t="str">
        <f>IF(ISBLANK(I605),"N/A",IF(((I605-H605)*24)&gt;INDEX(Dim_ServiceType!$E$2:$E$16,MATCH(E605,Dim_ServiceType!$A$2:$A$16,0)),"Yes","No"))</f>
        <v>No</v>
      </c>
      <c r="P605" s="7" t="str">
        <f t="shared" si="39"/>
        <v>Closed</v>
      </c>
      <c r="Q605" s="6">
        <v>1</v>
      </c>
      <c r="R605" s="7" t="s">
        <v>196</v>
      </c>
    </row>
    <row r="606" spans="1:18" x14ac:dyDescent="0.35">
      <c r="A606" s="6">
        <v>605</v>
      </c>
      <c r="B606" s="7" t="s">
        <v>802</v>
      </c>
      <c r="C606" s="6">
        <v>7</v>
      </c>
      <c r="D606" s="6">
        <v>3</v>
      </c>
      <c r="E606" s="6">
        <v>7</v>
      </c>
      <c r="F606" s="6">
        <v>9</v>
      </c>
      <c r="G606" s="9">
        <v>45994.309976851902</v>
      </c>
      <c r="H606" s="9">
        <v>45994.559976851902</v>
      </c>
      <c r="I606" s="9">
        <v>45995.084976851896</v>
      </c>
      <c r="J606" s="9">
        <v>45995.168310185203</v>
      </c>
      <c r="K606" s="7" t="s">
        <v>200</v>
      </c>
      <c r="L606" s="10">
        <f t="shared" si="36"/>
        <v>6</v>
      </c>
      <c r="M606" s="10">
        <f t="shared" si="37"/>
        <v>12.599999999860302</v>
      </c>
      <c r="N606" s="10">
        <f t="shared" si="38"/>
        <v>20.599999999220017</v>
      </c>
      <c r="O606" s="7" t="str">
        <f>IF(ISBLANK(I606),"N/A",IF(((I606-H606)*24)&gt;INDEX(Dim_ServiceType!$E$2:$E$16,MATCH(E606,Dim_ServiceType!$A$2:$A$16,0)),"Yes","No"))</f>
        <v>No</v>
      </c>
      <c r="P606" s="7" t="str">
        <f t="shared" si="39"/>
        <v>Closed</v>
      </c>
      <c r="Q606" s="6">
        <v>3</v>
      </c>
      <c r="R606" s="7" t="s">
        <v>196</v>
      </c>
    </row>
    <row r="607" spans="1:18" x14ac:dyDescent="0.35">
      <c r="A607" s="6">
        <v>606</v>
      </c>
      <c r="B607" s="7" t="s">
        <v>803</v>
      </c>
      <c r="C607" s="6">
        <v>7</v>
      </c>
      <c r="D607" s="6">
        <v>9</v>
      </c>
      <c r="E607" s="6">
        <v>6</v>
      </c>
      <c r="F607" s="6">
        <v>7</v>
      </c>
      <c r="G607" s="9">
        <v>45975.931967592602</v>
      </c>
      <c r="H607" s="9">
        <v>45976.056967592602</v>
      </c>
      <c r="I607" s="9">
        <v>45978.006967592599</v>
      </c>
      <c r="J607" s="9">
        <v>45978.027800925898</v>
      </c>
      <c r="K607" s="7" t="s">
        <v>198</v>
      </c>
      <c r="L607" s="10">
        <f t="shared" si="36"/>
        <v>3</v>
      </c>
      <c r="M607" s="10">
        <f t="shared" si="37"/>
        <v>46.799999999930151</v>
      </c>
      <c r="N607" s="10">
        <f t="shared" si="38"/>
        <v>50.299999999115244</v>
      </c>
      <c r="O607" s="7" t="str">
        <f>IF(ISBLANK(I607),"N/A",IF(((I607-H607)*24)&gt;INDEX(Dim_ServiceType!$E$2:$E$16,MATCH(E607,Dim_ServiceType!$A$2:$A$16,0)),"Yes","No"))</f>
        <v>No</v>
      </c>
      <c r="P607" s="7" t="str">
        <f t="shared" si="39"/>
        <v>Closed</v>
      </c>
      <c r="Q607" s="6">
        <v>4</v>
      </c>
      <c r="R607" s="7" t="s">
        <v>196</v>
      </c>
    </row>
    <row r="608" spans="1:18" x14ac:dyDescent="0.35">
      <c r="A608" s="6">
        <v>607</v>
      </c>
      <c r="B608" s="7" t="s">
        <v>804</v>
      </c>
      <c r="C608" s="6">
        <v>7</v>
      </c>
      <c r="D608" s="6">
        <v>11</v>
      </c>
      <c r="E608" s="6">
        <v>9</v>
      </c>
      <c r="F608" s="6">
        <v>10</v>
      </c>
      <c r="G608" s="9">
        <v>45969.945115740702</v>
      </c>
      <c r="H608" s="9">
        <v>45970.695115740702</v>
      </c>
      <c r="I608" s="9">
        <v>45973.432615740698</v>
      </c>
      <c r="J608" s="9">
        <v>45973.599282407398</v>
      </c>
      <c r="K608" s="7" t="s">
        <v>195</v>
      </c>
      <c r="L608" s="10">
        <f t="shared" si="36"/>
        <v>18</v>
      </c>
      <c r="M608" s="10">
        <f t="shared" si="37"/>
        <v>65.699999999895226</v>
      </c>
      <c r="N608" s="10">
        <f t="shared" si="38"/>
        <v>87.700000000710133</v>
      </c>
      <c r="O608" s="7" t="str">
        <f>IF(ISBLANK(I608),"N/A",IF(((I608-H608)*24)&gt;INDEX(Dim_ServiceType!$E$2:$E$16,MATCH(E608,Dim_ServiceType!$A$2:$A$16,0)),"Yes","No"))</f>
        <v>No</v>
      </c>
      <c r="P608" s="7" t="str">
        <f t="shared" si="39"/>
        <v>Closed</v>
      </c>
      <c r="Q608" s="6">
        <v>4</v>
      </c>
      <c r="R608" s="7" t="s">
        <v>196</v>
      </c>
    </row>
    <row r="609" spans="1:18" x14ac:dyDescent="0.35">
      <c r="A609" s="6">
        <v>608</v>
      </c>
      <c r="B609" s="7" t="s">
        <v>805</v>
      </c>
      <c r="C609" s="6">
        <v>7</v>
      </c>
      <c r="D609" s="6">
        <v>12</v>
      </c>
      <c r="E609" s="6">
        <v>5</v>
      </c>
      <c r="F609" s="6">
        <v>3</v>
      </c>
      <c r="G609" s="9">
        <v>45797.196250000001</v>
      </c>
      <c r="H609" s="9">
        <v>45798.196250000001</v>
      </c>
      <c r="I609" s="9">
        <v>45799.633750000001</v>
      </c>
      <c r="J609" s="9">
        <v>45800.133750000001</v>
      </c>
      <c r="K609" s="7" t="s">
        <v>192</v>
      </c>
      <c r="L609" s="10">
        <f t="shared" si="36"/>
        <v>24</v>
      </c>
      <c r="M609" s="10">
        <f t="shared" si="37"/>
        <v>34.5</v>
      </c>
      <c r="N609" s="10">
        <f t="shared" si="38"/>
        <v>70.5</v>
      </c>
      <c r="O609" s="7" t="str">
        <f>IF(ISBLANK(I609),"N/A",IF(((I609-H609)*24)&gt;INDEX(Dim_ServiceType!$E$2:$E$16,MATCH(E609,Dim_ServiceType!$A$2:$A$16,0)),"Yes","No"))</f>
        <v>Yes</v>
      </c>
      <c r="P609" s="7" t="str">
        <f t="shared" si="39"/>
        <v>Closed</v>
      </c>
      <c r="Q609" s="6">
        <v>4</v>
      </c>
      <c r="R609" s="7" t="s">
        <v>196</v>
      </c>
    </row>
    <row r="610" spans="1:18" x14ac:dyDescent="0.35">
      <c r="A610" s="6">
        <v>609</v>
      </c>
      <c r="B610" s="7" t="s">
        <v>806</v>
      </c>
      <c r="C610" s="6">
        <v>5</v>
      </c>
      <c r="D610" s="6">
        <v>14</v>
      </c>
      <c r="E610" s="6">
        <v>12</v>
      </c>
      <c r="F610" s="6">
        <v>3</v>
      </c>
      <c r="G610" s="9">
        <v>45738.5464236111</v>
      </c>
      <c r="H610" s="9">
        <v>45738.6714236111</v>
      </c>
      <c r="I610" s="9">
        <v>45740.825590277796</v>
      </c>
      <c r="J610" s="9">
        <v>45740.908923611103</v>
      </c>
      <c r="K610" s="7" t="s">
        <v>207</v>
      </c>
      <c r="L610" s="10">
        <f t="shared" si="36"/>
        <v>3</v>
      </c>
      <c r="M610" s="10">
        <f t="shared" si="37"/>
        <v>51.700000000710133</v>
      </c>
      <c r="N610" s="10">
        <f t="shared" si="38"/>
        <v>56.700000000069849</v>
      </c>
      <c r="O610" s="7" t="str">
        <f>IF(ISBLANK(I610),"N/A",IF(((I610-H610)*24)&gt;INDEX(Dim_ServiceType!$E$2:$E$16,MATCH(E610,Dim_ServiceType!$A$2:$A$16,0)),"Yes","No"))</f>
        <v>Yes</v>
      </c>
      <c r="P610" s="7" t="str">
        <f t="shared" si="39"/>
        <v>Closed</v>
      </c>
      <c r="Q610" s="6">
        <v>4</v>
      </c>
      <c r="R610" s="7" t="s">
        <v>196</v>
      </c>
    </row>
    <row r="611" spans="1:18" x14ac:dyDescent="0.35">
      <c r="A611" s="6">
        <v>610</v>
      </c>
      <c r="B611" s="7" t="s">
        <v>807</v>
      </c>
      <c r="C611" s="6">
        <v>4</v>
      </c>
      <c r="D611" s="6">
        <v>9</v>
      </c>
      <c r="E611" s="6">
        <v>14</v>
      </c>
      <c r="F611" s="6">
        <v>5</v>
      </c>
      <c r="G611" s="9">
        <v>45735.164456018501</v>
      </c>
      <c r="H611" s="9">
        <v>45735.497789351903</v>
      </c>
      <c r="I611" s="9">
        <v>45735.785289351901</v>
      </c>
      <c r="J611" s="9">
        <v>45735.806122685201</v>
      </c>
      <c r="K611" s="7" t="s">
        <v>195</v>
      </c>
      <c r="L611" s="10">
        <f t="shared" si="36"/>
        <v>8.0000000016298145</v>
      </c>
      <c r="M611" s="10">
        <f t="shared" si="37"/>
        <v>6.8999999999650754</v>
      </c>
      <c r="N611" s="10">
        <f t="shared" si="38"/>
        <v>15.400000000779983</v>
      </c>
      <c r="O611" s="7" t="str">
        <f>IF(ISBLANK(I611),"N/A",IF(((I611-H611)*24)&gt;INDEX(Dim_ServiceType!$E$2:$E$16,MATCH(E611,Dim_ServiceType!$A$2:$A$16,0)),"Yes","No"))</f>
        <v>No</v>
      </c>
      <c r="P611" s="7" t="str">
        <f t="shared" si="39"/>
        <v>Closed</v>
      </c>
      <c r="Q611" s="6">
        <v>5</v>
      </c>
      <c r="R611" s="7" t="s">
        <v>196</v>
      </c>
    </row>
    <row r="612" spans="1:18" x14ac:dyDescent="0.35">
      <c r="A612" s="6">
        <v>611</v>
      </c>
      <c r="B612" s="7" t="s">
        <v>808</v>
      </c>
      <c r="C612" s="6">
        <v>13</v>
      </c>
      <c r="D612" s="6">
        <v>6</v>
      </c>
      <c r="E612" s="6">
        <v>10</v>
      </c>
      <c r="F612" s="6">
        <v>13</v>
      </c>
      <c r="G612" s="9">
        <v>45866.9018981482</v>
      </c>
      <c r="H612" s="9">
        <v>45866.9227314815</v>
      </c>
      <c r="I612" s="9">
        <v>45867.001898148199</v>
      </c>
      <c r="J612" s="9">
        <v>45867.501898148199</v>
      </c>
      <c r="K612" s="7" t="s">
        <v>195</v>
      </c>
      <c r="L612" s="10">
        <f t="shared" si="36"/>
        <v>0.49999999918509275</v>
      </c>
      <c r="M612" s="10">
        <f t="shared" si="37"/>
        <v>1.9000000007799827</v>
      </c>
      <c r="N612" s="10">
        <f t="shared" si="38"/>
        <v>14.399999999965075</v>
      </c>
      <c r="O612" s="7" t="str">
        <f>IF(ISBLANK(I612),"N/A",IF(((I612-H612)*24)&gt;INDEX(Dim_ServiceType!$E$2:$E$16,MATCH(E612,Dim_ServiceType!$A$2:$A$16,0)),"Yes","No"))</f>
        <v>No</v>
      </c>
      <c r="P612" s="7" t="str">
        <f t="shared" si="39"/>
        <v>Closed</v>
      </c>
      <c r="Q612" s="6">
        <v>4</v>
      </c>
      <c r="R612" s="7" t="s">
        <v>196</v>
      </c>
    </row>
    <row r="613" spans="1:18" x14ac:dyDescent="0.35">
      <c r="A613" s="6">
        <v>612</v>
      </c>
      <c r="B613" s="7" t="s">
        <v>809</v>
      </c>
      <c r="C613" s="6">
        <v>2</v>
      </c>
      <c r="D613" s="6">
        <v>1</v>
      </c>
      <c r="E613" s="6">
        <v>11</v>
      </c>
      <c r="F613" s="6">
        <v>15</v>
      </c>
      <c r="G613" s="9">
        <v>45864.952384259297</v>
      </c>
      <c r="H613" s="9">
        <v>45865.285717592596</v>
      </c>
      <c r="I613" s="9">
        <v>45865.573217592602</v>
      </c>
      <c r="J613" s="9">
        <v>45866.073217592602</v>
      </c>
      <c r="K613" s="7" t="s">
        <v>198</v>
      </c>
      <c r="L613" s="10">
        <f t="shared" si="36"/>
        <v>7.9999999991850927</v>
      </c>
      <c r="M613" s="10">
        <f t="shared" si="37"/>
        <v>6.9000000001396984</v>
      </c>
      <c r="N613" s="10">
        <f t="shared" si="38"/>
        <v>26.899999999324791</v>
      </c>
      <c r="O613" s="7" t="str">
        <f>IF(ISBLANK(I613),"N/A",IF(((I613-H613)*24)&gt;INDEX(Dim_ServiceType!$E$2:$E$16,MATCH(E613,Dim_ServiceType!$A$2:$A$16,0)),"Yes","No"))</f>
        <v>No</v>
      </c>
      <c r="P613" s="7" t="str">
        <f t="shared" si="39"/>
        <v>Closed</v>
      </c>
      <c r="Q613" s="6">
        <v>4</v>
      </c>
      <c r="R613" s="7" t="s">
        <v>196</v>
      </c>
    </row>
    <row r="614" spans="1:18" x14ac:dyDescent="0.35">
      <c r="A614" s="6">
        <v>613</v>
      </c>
      <c r="B614" s="7" t="s">
        <v>810</v>
      </c>
      <c r="C614" s="6">
        <v>1</v>
      </c>
      <c r="D614" s="6">
        <v>11</v>
      </c>
      <c r="E614" s="6">
        <v>3</v>
      </c>
      <c r="F614" s="6">
        <v>7</v>
      </c>
      <c r="G614" s="9">
        <v>45834.639386574097</v>
      </c>
      <c r="H614" s="9">
        <v>45834.764386574097</v>
      </c>
      <c r="I614" s="9"/>
      <c r="J614" s="9"/>
      <c r="K614" s="7" t="s">
        <v>200</v>
      </c>
      <c r="L614" s="10">
        <f t="shared" si="36"/>
        <v>3</v>
      </c>
      <c r="M614" s="10" t="str">
        <f t="shared" si="37"/>
        <v/>
      </c>
      <c r="N614" s="10" t="str">
        <f t="shared" si="38"/>
        <v/>
      </c>
      <c r="O614" s="7" t="str">
        <f>IF(ISBLANK(I614),"N/A",IF(((I614-H614)*24)&gt;INDEX(Dim_ServiceType!$E$2:$E$16,MATCH(E614,Dim_ServiceType!$A$2:$A$16,0)),"Yes","No"))</f>
        <v>N/A</v>
      </c>
      <c r="P614" s="7" t="str">
        <f t="shared" si="39"/>
        <v>In Progress</v>
      </c>
      <c r="Q614" s="6"/>
      <c r="R614" s="7"/>
    </row>
    <row r="615" spans="1:18" x14ac:dyDescent="0.35">
      <c r="A615" s="6">
        <v>614</v>
      </c>
      <c r="B615" s="7" t="s">
        <v>811</v>
      </c>
      <c r="C615" s="6">
        <v>15</v>
      </c>
      <c r="D615" s="6">
        <v>9</v>
      </c>
      <c r="E615" s="6">
        <v>15</v>
      </c>
      <c r="F615" s="6">
        <v>2</v>
      </c>
      <c r="G615" s="9">
        <v>45951.488958333299</v>
      </c>
      <c r="H615" s="9">
        <v>45951.8222916667</v>
      </c>
      <c r="I615" s="9">
        <v>45952.347291666701</v>
      </c>
      <c r="J615" s="9">
        <v>45952.847291666701</v>
      </c>
      <c r="K615" s="7" t="s">
        <v>198</v>
      </c>
      <c r="L615" s="10">
        <f t="shared" si="36"/>
        <v>8.0000000016298145</v>
      </c>
      <c r="M615" s="10">
        <f t="shared" si="37"/>
        <v>12.600000000034925</v>
      </c>
      <c r="N615" s="10">
        <f t="shared" si="38"/>
        <v>32.600000001664739</v>
      </c>
      <c r="O615" s="7" t="str">
        <f>IF(ISBLANK(I615),"N/A",IF(((I615-H615)*24)&gt;INDEX(Dim_ServiceType!$E$2:$E$16,MATCH(E615,Dim_ServiceType!$A$2:$A$16,0)),"Yes","No"))</f>
        <v>No</v>
      </c>
      <c r="P615" s="7" t="str">
        <f t="shared" si="39"/>
        <v>Closed</v>
      </c>
      <c r="Q615" s="6">
        <v>5</v>
      </c>
      <c r="R615" s="7" t="s">
        <v>196</v>
      </c>
    </row>
    <row r="616" spans="1:18" x14ac:dyDescent="0.35">
      <c r="A616" s="6">
        <v>615</v>
      </c>
      <c r="B616" s="7" t="s">
        <v>812</v>
      </c>
      <c r="C616" s="6">
        <v>1</v>
      </c>
      <c r="D616" s="6">
        <v>15</v>
      </c>
      <c r="E616" s="6">
        <v>9</v>
      </c>
      <c r="F616" s="6">
        <v>7</v>
      </c>
      <c r="G616" s="9">
        <v>45659.358148148203</v>
      </c>
      <c r="H616" s="9">
        <v>45659.483148148203</v>
      </c>
      <c r="I616" s="9">
        <v>45662.024814814802</v>
      </c>
      <c r="J616" s="9">
        <v>45663.024814814802</v>
      </c>
      <c r="K616" s="7" t="s">
        <v>192</v>
      </c>
      <c r="L616" s="10">
        <f t="shared" si="36"/>
        <v>3</v>
      </c>
      <c r="M616" s="10">
        <f t="shared" si="37"/>
        <v>60.999999998370185</v>
      </c>
      <c r="N616" s="10">
        <f t="shared" si="38"/>
        <v>87.999999998370185</v>
      </c>
      <c r="O616" s="7" t="str">
        <f>IF(ISBLANK(I616),"N/A",IF(((I616-H616)*24)&gt;INDEX(Dim_ServiceType!$E$2:$E$16,MATCH(E616,Dim_ServiceType!$A$2:$A$16,0)),"Yes","No"))</f>
        <v>No</v>
      </c>
      <c r="P616" s="7" t="str">
        <f t="shared" si="39"/>
        <v>Closed</v>
      </c>
      <c r="Q616" s="6">
        <v>4</v>
      </c>
      <c r="R616" s="7" t="s">
        <v>196</v>
      </c>
    </row>
    <row r="617" spans="1:18" x14ac:dyDescent="0.35">
      <c r="A617" s="6">
        <v>616</v>
      </c>
      <c r="B617" s="7" t="s">
        <v>813</v>
      </c>
      <c r="C617" s="6">
        <v>14</v>
      </c>
      <c r="D617" s="6">
        <v>8</v>
      </c>
      <c r="E617" s="6">
        <v>8</v>
      </c>
      <c r="F617" s="6">
        <v>7</v>
      </c>
      <c r="G617" s="9">
        <v>45748.421655092599</v>
      </c>
      <c r="H617" s="9">
        <v>45749.171655092599</v>
      </c>
      <c r="I617" s="9">
        <v>45749.454988425903</v>
      </c>
      <c r="J617" s="9">
        <v>45749.954988425903</v>
      </c>
      <c r="K617" s="7" t="s">
        <v>207</v>
      </c>
      <c r="L617" s="10">
        <f t="shared" si="36"/>
        <v>18</v>
      </c>
      <c r="M617" s="10">
        <f t="shared" si="37"/>
        <v>6.7999999992898665</v>
      </c>
      <c r="N617" s="10">
        <f t="shared" si="38"/>
        <v>36.799999999289867</v>
      </c>
      <c r="O617" s="7" t="str">
        <f>IF(ISBLANK(I617),"N/A",IF(((I617-H617)*24)&gt;INDEX(Dim_ServiceType!$E$2:$E$16,MATCH(E617,Dim_ServiceType!$A$2:$A$16,0)),"Yes","No"))</f>
        <v>Yes</v>
      </c>
      <c r="P617" s="7" t="str">
        <f t="shared" si="39"/>
        <v>Closed</v>
      </c>
      <c r="Q617" s="6">
        <v>3</v>
      </c>
      <c r="R617" s="7" t="s">
        <v>196</v>
      </c>
    </row>
    <row r="618" spans="1:18" x14ac:dyDescent="0.35">
      <c r="A618" s="6">
        <v>617</v>
      </c>
      <c r="B618" s="7" t="s">
        <v>814</v>
      </c>
      <c r="C618" s="6">
        <v>6</v>
      </c>
      <c r="D618" s="6">
        <v>3</v>
      </c>
      <c r="E618" s="6">
        <v>9</v>
      </c>
      <c r="F618" s="6">
        <v>14</v>
      </c>
      <c r="G618" s="9">
        <v>45824.8535416667</v>
      </c>
      <c r="H618" s="9">
        <v>45824.936874999999</v>
      </c>
      <c r="I618" s="9">
        <v>45828.5410416667</v>
      </c>
      <c r="J618" s="9">
        <v>45828.707708333299</v>
      </c>
      <c r="K618" s="7" t="s">
        <v>198</v>
      </c>
      <c r="L618" s="10">
        <f t="shared" si="36"/>
        <v>1.9999999991850927</v>
      </c>
      <c r="M618" s="10">
        <f t="shared" si="37"/>
        <v>86.500000000814907</v>
      </c>
      <c r="N618" s="10">
        <f t="shared" si="38"/>
        <v>92.499999998370185</v>
      </c>
      <c r="O618" s="7" t="str">
        <f>IF(ISBLANK(I618),"N/A",IF(((I618-H618)*24)&gt;INDEX(Dim_ServiceType!$E$2:$E$16,MATCH(E618,Dim_ServiceType!$A$2:$A$16,0)),"Yes","No"))</f>
        <v>Yes</v>
      </c>
      <c r="P618" s="7" t="str">
        <f t="shared" si="39"/>
        <v>Closed</v>
      </c>
      <c r="Q618" s="6">
        <v>5</v>
      </c>
      <c r="R618" s="7" t="s">
        <v>196</v>
      </c>
    </row>
    <row r="619" spans="1:18" x14ac:dyDescent="0.35">
      <c r="A619" s="6">
        <v>618</v>
      </c>
      <c r="B619" s="7" t="s">
        <v>815</v>
      </c>
      <c r="C619" s="6">
        <v>7</v>
      </c>
      <c r="D619" s="6">
        <v>8</v>
      </c>
      <c r="E619" s="6">
        <v>3</v>
      </c>
      <c r="F619" s="6">
        <v>1</v>
      </c>
      <c r="G619" s="9">
        <v>45802.049456018503</v>
      </c>
      <c r="H619" s="9">
        <v>45802.299456018503</v>
      </c>
      <c r="I619" s="9">
        <v>45802.716122685197</v>
      </c>
      <c r="J619" s="9">
        <v>45802.736956018503</v>
      </c>
      <c r="K619" s="7" t="s">
        <v>192</v>
      </c>
      <c r="L619" s="10">
        <f t="shared" si="36"/>
        <v>6</v>
      </c>
      <c r="M619" s="10">
        <f t="shared" si="37"/>
        <v>10.000000000640284</v>
      </c>
      <c r="N619" s="10">
        <f t="shared" si="38"/>
        <v>16.5</v>
      </c>
      <c r="O619" s="7" t="str">
        <f>IF(ISBLANK(I619),"N/A",IF(((I619-H619)*24)&gt;INDEX(Dim_ServiceType!$E$2:$E$16,MATCH(E619,Dim_ServiceType!$A$2:$A$16,0)),"Yes","No"))</f>
        <v>Yes</v>
      </c>
      <c r="P619" s="7" t="str">
        <f t="shared" si="39"/>
        <v>Closed</v>
      </c>
      <c r="Q619" s="6">
        <v>5</v>
      </c>
      <c r="R619" s="7" t="s">
        <v>196</v>
      </c>
    </row>
    <row r="620" spans="1:18" x14ac:dyDescent="0.35">
      <c r="A620" s="6">
        <v>619</v>
      </c>
      <c r="B620" s="7" t="s">
        <v>816</v>
      </c>
      <c r="C620" s="6">
        <v>7</v>
      </c>
      <c r="D620" s="6">
        <v>13</v>
      </c>
      <c r="E620" s="6">
        <v>2</v>
      </c>
      <c r="F620" s="6">
        <v>6</v>
      </c>
      <c r="G620" s="9">
        <v>45977.721412036997</v>
      </c>
      <c r="H620" s="9">
        <v>45978.054745370398</v>
      </c>
      <c r="I620" s="9">
        <v>45978.363078703696</v>
      </c>
      <c r="J620" s="9">
        <v>45978.404745370397</v>
      </c>
      <c r="K620" s="7" t="s">
        <v>207</v>
      </c>
      <c r="L620" s="10">
        <f t="shared" si="36"/>
        <v>8.0000000016298145</v>
      </c>
      <c r="M620" s="10">
        <f t="shared" si="37"/>
        <v>7.3999999991501682</v>
      </c>
      <c r="N620" s="10">
        <f t="shared" si="38"/>
        <v>16.40000000159489</v>
      </c>
      <c r="O620" s="7" t="str">
        <f>IF(ISBLANK(I620),"N/A",IF(((I620-H620)*24)&gt;INDEX(Dim_ServiceType!$E$2:$E$16,MATCH(E620,Dim_ServiceType!$A$2:$A$16,0)),"Yes","No"))</f>
        <v>Yes</v>
      </c>
      <c r="P620" s="7" t="str">
        <f t="shared" si="39"/>
        <v>Closed</v>
      </c>
      <c r="Q620" s="6">
        <v>3</v>
      </c>
      <c r="R620" s="7" t="s">
        <v>196</v>
      </c>
    </row>
    <row r="621" spans="1:18" x14ac:dyDescent="0.35">
      <c r="A621" s="6">
        <v>620</v>
      </c>
      <c r="B621" s="7" t="s">
        <v>817</v>
      </c>
      <c r="C621" s="6">
        <v>10</v>
      </c>
      <c r="D621" s="6">
        <v>6</v>
      </c>
      <c r="E621" s="6">
        <v>5</v>
      </c>
      <c r="F621" s="6">
        <v>4</v>
      </c>
      <c r="G621" s="9">
        <v>45739.622546296298</v>
      </c>
      <c r="H621" s="9">
        <v>45740.122546296298</v>
      </c>
      <c r="I621" s="9">
        <v>45740.368379629603</v>
      </c>
      <c r="J621" s="9">
        <v>45740.389212962997</v>
      </c>
      <c r="K621" s="7" t="s">
        <v>195</v>
      </c>
      <c r="L621" s="10">
        <f t="shared" si="36"/>
        <v>12</v>
      </c>
      <c r="M621" s="10">
        <f t="shared" si="37"/>
        <v>5.8999999993247911</v>
      </c>
      <c r="N621" s="10">
        <f t="shared" si="38"/>
        <v>18.400000000779983</v>
      </c>
      <c r="O621" s="7" t="str">
        <f>IF(ISBLANK(I621),"N/A",IF(((I621-H621)*24)&gt;INDEX(Dim_ServiceType!$E$2:$E$16,MATCH(E621,Dim_ServiceType!$A$2:$A$16,0)),"Yes","No"))</f>
        <v>No</v>
      </c>
      <c r="P621" s="7" t="str">
        <f t="shared" si="39"/>
        <v>Closed</v>
      </c>
      <c r="Q621" s="6">
        <v>5</v>
      </c>
      <c r="R621" s="7" t="s">
        <v>196</v>
      </c>
    </row>
    <row r="622" spans="1:18" x14ac:dyDescent="0.35">
      <c r="A622" s="6">
        <v>621</v>
      </c>
      <c r="B622" s="7" t="s">
        <v>818</v>
      </c>
      <c r="C622" s="6">
        <v>11</v>
      </c>
      <c r="D622" s="6">
        <v>1</v>
      </c>
      <c r="E622" s="6">
        <v>13</v>
      </c>
      <c r="F622" s="6">
        <v>4</v>
      </c>
      <c r="G622" s="9">
        <v>45867.747789351903</v>
      </c>
      <c r="H622" s="9">
        <v>45867.789456018501</v>
      </c>
      <c r="I622" s="9">
        <v>45868.168622685203</v>
      </c>
      <c r="J622" s="9">
        <v>45868.210289351897</v>
      </c>
      <c r="K622" s="7" t="s">
        <v>192</v>
      </c>
      <c r="L622" s="10">
        <f t="shared" si="36"/>
        <v>0.99999999837018549</v>
      </c>
      <c r="M622" s="10">
        <f t="shared" si="37"/>
        <v>9.1000000008498318</v>
      </c>
      <c r="N622" s="10">
        <f t="shared" si="38"/>
        <v>11.099999999860302</v>
      </c>
      <c r="O622" s="7" t="str">
        <f>IF(ISBLANK(I622),"N/A",IF(((I622-H622)*24)&gt;INDEX(Dim_ServiceType!$E$2:$E$16,MATCH(E622,Dim_ServiceType!$A$2:$A$16,0)),"Yes","No"))</f>
        <v>No</v>
      </c>
      <c r="P622" s="7" t="str">
        <f t="shared" si="39"/>
        <v>Closed</v>
      </c>
      <c r="Q622" s="6">
        <v>4</v>
      </c>
      <c r="R622" s="7" t="s">
        <v>193</v>
      </c>
    </row>
    <row r="623" spans="1:18" x14ac:dyDescent="0.35">
      <c r="A623" s="6">
        <v>622</v>
      </c>
      <c r="B623" s="7" t="s">
        <v>819</v>
      </c>
      <c r="C623" s="6">
        <v>9</v>
      </c>
      <c r="D623" s="6">
        <v>13</v>
      </c>
      <c r="E623" s="6">
        <v>11</v>
      </c>
      <c r="F623" s="6">
        <v>14</v>
      </c>
      <c r="G623" s="9">
        <v>45916.412233796298</v>
      </c>
      <c r="H623" s="9">
        <v>45917.162233796298</v>
      </c>
      <c r="I623" s="9">
        <v>45917.512233796297</v>
      </c>
      <c r="J623" s="9">
        <v>45917.595567129603</v>
      </c>
      <c r="K623" s="7" t="s">
        <v>200</v>
      </c>
      <c r="L623" s="10">
        <f t="shared" si="36"/>
        <v>18</v>
      </c>
      <c r="M623" s="10">
        <f t="shared" si="37"/>
        <v>8.3999999999650754</v>
      </c>
      <c r="N623" s="10">
        <f t="shared" si="38"/>
        <v>28.399999999324791</v>
      </c>
      <c r="O623" s="7" t="str">
        <f>IF(ISBLANK(I623),"N/A",IF(((I623-H623)*24)&gt;INDEX(Dim_ServiceType!$E$2:$E$16,MATCH(E623,Dim_ServiceType!$A$2:$A$16,0)),"Yes","No"))</f>
        <v>No</v>
      </c>
      <c r="P623" s="7" t="str">
        <f t="shared" si="39"/>
        <v>Closed</v>
      </c>
      <c r="Q623" s="6">
        <v>5</v>
      </c>
      <c r="R623" s="7" t="s">
        <v>196</v>
      </c>
    </row>
    <row r="624" spans="1:18" x14ac:dyDescent="0.35">
      <c r="A624" s="6">
        <v>623</v>
      </c>
      <c r="B624" s="7" t="s">
        <v>820</v>
      </c>
      <c r="C624" s="6">
        <v>5</v>
      </c>
      <c r="D624" s="6">
        <v>14</v>
      </c>
      <c r="E624" s="6">
        <v>13</v>
      </c>
      <c r="F624" s="6">
        <v>1</v>
      </c>
      <c r="G624" s="9">
        <v>45687.546261574098</v>
      </c>
      <c r="H624" s="9">
        <v>45687.712928240697</v>
      </c>
      <c r="I624" s="9">
        <v>45688.225428240701</v>
      </c>
      <c r="J624" s="9">
        <v>45688.246261574102</v>
      </c>
      <c r="K624" s="7" t="s">
        <v>195</v>
      </c>
      <c r="L624" s="10">
        <f t="shared" si="36"/>
        <v>3.9999999983701855</v>
      </c>
      <c r="M624" s="10">
        <f t="shared" si="37"/>
        <v>12.300000000104774</v>
      </c>
      <c r="N624" s="10">
        <f t="shared" si="38"/>
        <v>16.800000000104774</v>
      </c>
      <c r="O624" s="7" t="str">
        <f>IF(ISBLANK(I624),"N/A",IF(((I624-H624)*24)&gt;INDEX(Dim_ServiceType!$E$2:$E$16,MATCH(E624,Dim_ServiceType!$A$2:$A$16,0)),"Yes","No"))</f>
        <v>No</v>
      </c>
      <c r="P624" s="7" t="str">
        <f t="shared" si="39"/>
        <v>Closed</v>
      </c>
      <c r="Q624" s="6">
        <v>3</v>
      </c>
      <c r="R624" s="7" t="s">
        <v>196</v>
      </c>
    </row>
    <row r="625" spans="1:18" x14ac:dyDescent="0.35">
      <c r="A625" s="6">
        <v>624</v>
      </c>
      <c r="B625" s="7" t="s">
        <v>821</v>
      </c>
      <c r="C625" s="6">
        <v>15</v>
      </c>
      <c r="D625" s="6">
        <v>8</v>
      </c>
      <c r="E625" s="6">
        <v>2</v>
      </c>
      <c r="F625" s="6">
        <v>13</v>
      </c>
      <c r="G625" s="9">
        <v>45831.064062500001</v>
      </c>
      <c r="H625" s="9">
        <v>45831.147395833301</v>
      </c>
      <c r="I625" s="9">
        <v>45831.2890625</v>
      </c>
      <c r="J625" s="9">
        <v>45831.309895833299</v>
      </c>
      <c r="K625" s="7" t="s">
        <v>192</v>
      </c>
      <c r="L625" s="10">
        <f t="shared" si="36"/>
        <v>1.9999999991850927</v>
      </c>
      <c r="M625" s="10">
        <f t="shared" si="37"/>
        <v>3.4000000007799827</v>
      </c>
      <c r="N625" s="10">
        <f t="shared" si="38"/>
        <v>5.8999999991501682</v>
      </c>
      <c r="O625" s="7" t="str">
        <f>IF(ISBLANK(I625),"N/A",IF(((I625-H625)*24)&gt;INDEX(Dim_ServiceType!$E$2:$E$16,MATCH(E625,Dim_ServiceType!$A$2:$A$16,0)),"Yes","No"))</f>
        <v>No</v>
      </c>
      <c r="P625" s="7" t="str">
        <f t="shared" si="39"/>
        <v>Closed</v>
      </c>
      <c r="Q625" s="6">
        <v>5</v>
      </c>
      <c r="R625" s="7" t="s">
        <v>196</v>
      </c>
    </row>
    <row r="626" spans="1:18" x14ac:dyDescent="0.35">
      <c r="A626" s="6">
        <v>625</v>
      </c>
      <c r="B626" s="7" t="s">
        <v>822</v>
      </c>
      <c r="C626" s="6">
        <v>2</v>
      </c>
      <c r="D626" s="6">
        <v>3</v>
      </c>
      <c r="E626" s="6">
        <v>15</v>
      </c>
      <c r="F626" s="6">
        <v>5</v>
      </c>
      <c r="G626" s="9">
        <v>45757.444722222201</v>
      </c>
      <c r="H626" s="9">
        <v>45757.694722222201</v>
      </c>
      <c r="I626" s="9">
        <v>45758.215555555602</v>
      </c>
      <c r="J626" s="9">
        <v>45758.257222222201</v>
      </c>
      <c r="K626" s="7" t="s">
        <v>198</v>
      </c>
      <c r="L626" s="10">
        <f t="shared" si="36"/>
        <v>6</v>
      </c>
      <c r="M626" s="10">
        <f t="shared" si="37"/>
        <v>12.500000001629815</v>
      </c>
      <c r="N626" s="10">
        <f t="shared" si="38"/>
        <v>19.5</v>
      </c>
      <c r="O626" s="7" t="str">
        <f>IF(ISBLANK(I626),"N/A",IF(((I626-H626)*24)&gt;INDEX(Dim_ServiceType!$E$2:$E$16,MATCH(E626,Dim_ServiceType!$A$2:$A$16,0)),"Yes","No"))</f>
        <v>No</v>
      </c>
      <c r="P626" s="7" t="str">
        <f t="shared" si="39"/>
        <v>Closed</v>
      </c>
      <c r="Q626" s="6">
        <v>1</v>
      </c>
      <c r="R626" s="7" t="s">
        <v>196</v>
      </c>
    </row>
    <row r="627" spans="1:18" x14ac:dyDescent="0.35">
      <c r="A627" s="6">
        <v>626</v>
      </c>
      <c r="B627" s="7" t="s">
        <v>823</v>
      </c>
      <c r="C627" s="6">
        <v>8</v>
      </c>
      <c r="D627" s="6">
        <v>14</v>
      </c>
      <c r="E627" s="6">
        <v>9</v>
      </c>
      <c r="F627" s="6">
        <v>14</v>
      </c>
      <c r="G627" s="9">
        <v>46003.302523148202</v>
      </c>
      <c r="H627" s="9"/>
      <c r="I627" s="9"/>
      <c r="J627" s="9"/>
      <c r="K627" s="7" t="s">
        <v>207</v>
      </c>
      <c r="L627" s="10" t="str">
        <f t="shared" si="36"/>
        <v/>
      </c>
      <c r="M627" s="10" t="str">
        <f t="shared" si="37"/>
        <v/>
      </c>
      <c r="N627" s="10" t="str">
        <f t="shared" si="38"/>
        <v/>
      </c>
      <c r="O627" s="7" t="str">
        <f>IF(ISBLANK(I627),"N/A",IF(((I627-H627)*24)&gt;INDEX(Dim_ServiceType!$E$2:$E$16,MATCH(E627,Dim_ServiceType!$A$2:$A$16,0)),"Yes","No"))</f>
        <v>N/A</v>
      </c>
      <c r="P627" s="7" t="str">
        <f t="shared" si="39"/>
        <v>Open (Unassigned)</v>
      </c>
      <c r="Q627" s="6"/>
      <c r="R627" s="7"/>
    </row>
    <row r="628" spans="1:18" x14ac:dyDescent="0.35">
      <c r="A628" s="6">
        <v>627</v>
      </c>
      <c r="B628" s="7" t="s">
        <v>824</v>
      </c>
      <c r="C628" s="6">
        <v>10</v>
      </c>
      <c r="D628" s="6">
        <v>12</v>
      </c>
      <c r="E628" s="6">
        <v>2</v>
      </c>
      <c r="F628" s="6">
        <v>1</v>
      </c>
      <c r="G628" s="9">
        <v>45900.433865740699</v>
      </c>
      <c r="H628" s="9">
        <v>45900.7671990741</v>
      </c>
      <c r="I628" s="9"/>
      <c r="J628" s="9"/>
      <c r="K628" s="7" t="s">
        <v>207</v>
      </c>
      <c r="L628" s="10">
        <f t="shared" si="36"/>
        <v>8.0000000016298145</v>
      </c>
      <c r="M628" s="10" t="str">
        <f t="shared" si="37"/>
        <v/>
      </c>
      <c r="N628" s="10" t="str">
        <f t="shared" si="38"/>
        <v/>
      </c>
      <c r="O628" s="7" t="str">
        <f>IF(ISBLANK(I628),"N/A",IF(((I628-H628)*24)&gt;INDEX(Dim_ServiceType!$E$2:$E$16,MATCH(E628,Dim_ServiceType!$A$2:$A$16,0)),"Yes","No"))</f>
        <v>N/A</v>
      </c>
      <c r="P628" s="7" t="str">
        <f t="shared" si="39"/>
        <v>In Progress</v>
      </c>
      <c r="Q628" s="6"/>
      <c r="R628" s="7"/>
    </row>
    <row r="629" spans="1:18" x14ac:dyDescent="0.35">
      <c r="A629" s="6">
        <v>628</v>
      </c>
      <c r="B629" s="7" t="s">
        <v>825</v>
      </c>
      <c r="C629" s="6">
        <v>7</v>
      </c>
      <c r="D629" s="6">
        <v>15</v>
      </c>
      <c r="E629" s="6">
        <v>13</v>
      </c>
      <c r="F629" s="6">
        <v>6</v>
      </c>
      <c r="G629" s="9">
        <v>45911.142893518503</v>
      </c>
      <c r="H629" s="9">
        <v>45911.892893518503</v>
      </c>
      <c r="I629" s="9">
        <v>45912.426226851901</v>
      </c>
      <c r="J629" s="9">
        <v>45912.509560185201</v>
      </c>
      <c r="K629" s="7" t="s">
        <v>192</v>
      </c>
      <c r="L629" s="10">
        <f t="shared" si="36"/>
        <v>18</v>
      </c>
      <c r="M629" s="10">
        <f t="shared" si="37"/>
        <v>12.800000001559965</v>
      </c>
      <c r="N629" s="10">
        <f t="shared" si="38"/>
        <v>32.800000000745058</v>
      </c>
      <c r="O629" s="7" t="str">
        <f>IF(ISBLANK(I629),"N/A",IF(((I629-H629)*24)&gt;INDEX(Dim_ServiceType!$E$2:$E$16,MATCH(E629,Dim_ServiceType!$A$2:$A$16,0)),"Yes","No"))</f>
        <v>No</v>
      </c>
      <c r="P629" s="7" t="str">
        <f t="shared" si="39"/>
        <v>Closed</v>
      </c>
      <c r="Q629" s="6">
        <v>4</v>
      </c>
      <c r="R629" s="7" t="s">
        <v>196</v>
      </c>
    </row>
    <row r="630" spans="1:18" x14ac:dyDescent="0.35">
      <c r="A630" s="6">
        <v>629</v>
      </c>
      <c r="B630" s="7" t="s">
        <v>826</v>
      </c>
      <c r="C630" s="6">
        <v>13</v>
      </c>
      <c r="D630" s="6">
        <v>13</v>
      </c>
      <c r="E630" s="6">
        <v>4</v>
      </c>
      <c r="F630" s="6">
        <v>8</v>
      </c>
      <c r="G630" s="9">
        <v>45855.389201388898</v>
      </c>
      <c r="H630" s="9">
        <v>45855.410034722197</v>
      </c>
      <c r="I630" s="9">
        <v>45856.510034722203</v>
      </c>
      <c r="J630" s="9">
        <v>45856.760034722203</v>
      </c>
      <c r="K630" s="7" t="s">
        <v>198</v>
      </c>
      <c r="L630" s="10">
        <f t="shared" si="36"/>
        <v>0.49999999918509275</v>
      </c>
      <c r="M630" s="10">
        <f t="shared" si="37"/>
        <v>26.400000000139698</v>
      </c>
      <c r="N630" s="10">
        <f t="shared" si="38"/>
        <v>32.899999999324791</v>
      </c>
      <c r="O630" s="7" t="str">
        <f>IF(ISBLANK(I630),"N/A",IF(((I630-H630)*24)&gt;INDEX(Dim_ServiceType!$E$2:$E$16,MATCH(E630,Dim_ServiceType!$A$2:$A$16,0)),"Yes","No"))</f>
        <v>Yes</v>
      </c>
      <c r="P630" s="7" t="str">
        <f t="shared" si="39"/>
        <v>Closed</v>
      </c>
      <c r="Q630" s="6">
        <v>4</v>
      </c>
      <c r="R630" s="7" t="s">
        <v>196</v>
      </c>
    </row>
    <row r="631" spans="1:18" x14ac:dyDescent="0.35">
      <c r="A631" s="6">
        <v>630</v>
      </c>
      <c r="B631" s="7" t="s">
        <v>827</v>
      </c>
      <c r="C631" s="6">
        <v>11</v>
      </c>
      <c r="D631" s="6">
        <v>10</v>
      </c>
      <c r="E631" s="6">
        <v>6</v>
      </c>
      <c r="F631" s="6">
        <v>12</v>
      </c>
      <c r="G631" s="9">
        <v>45938.060081018499</v>
      </c>
      <c r="H631" s="9">
        <v>45938.3934143519</v>
      </c>
      <c r="I631" s="9">
        <v>45940.055914351899</v>
      </c>
      <c r="J631" s="9">
        <v>45940.222581018497</v>
      </c>
      <c r="K631" s="7" t="s">
        <v>200</v>
      </c>
      <c r="L631" s="10">
        <f t="shared" si="36"/>
        <v>8.0000000016298145</v>
      </c>
      <c r="M631" s="10">
        <f t="shared" si="37"/>
        <v>39.899999999965075</v>
      </c>
      <c r="N631" s="10">
        <f t="shared" si="38"/>
        <v>51.899999999965075</v>
      </c>
      <c r="O631" s="7" t="str">
        <f>IF(ISBLANK(I631),"N/A",IF(((I631-H631)*24)&gt;INDEX(Dim_ServiceType!$E$2:$E$16,MATCH(E631,Dim_ServiceType!$A$2:$A$16,0)),"Yes","No"))</f>
        <v>No</v>
      </c>
      <c r="P631" s="7" t="str">
        <f t="shared" si="39"/>
        <v>Closed</v>
      </c>
      <c r="Q631" s="6">
        <v>5</v>
      </c>
      <c r="R631" s="7" t="s">
        <v>196</v>
      </c>
    </row>
    <row r="632" spans="1:18" x14ac:dyDescent="0.35">
      <c r="A632" s="6">
        <v>631</v>
      </c>
      <c r="B632" s="7" t="s">
        <v>828</v>
      </c>
      <c r="C632" s="6">
        <v>8</v>
      </c>
      <c r="D632" s="6">
        <v>6</v>
      </c>
      <c r="E632" s="6">
        <v>12</v>
      </c>
      <c r="F632" s="6">
        <v>6</v>
      </c>
      <c r="G632" s="9">
        <v>45815.403715277796</v>
      </c>
      <c r="H632" s="9">
        <v>45815.528715277796</v>
      </c>
      <c r="I632" s="9"/>
      <c r="J632" s="9"/>
      <c r="K632" s="7" t="s">
        <v>192</v>
      </c>
      <c r="L632" s="10">
        <f t="shared" si="36"/>
        <v>3</v>
      </c>
      <c r="M632" s="10" t="str">
        <f t="shared" si="37"/>
        <v/>
      </c>
      <c r="N632" s="10" t="str">
        <f t="shared" si="38"/>
        <v/>
      </c>
      <c r="O632" s="7" t="str">
        <f>IF(ISBLANK(I632),"N/A",IF(((I632-H632)*24)&gt;INDEX(Dim_ServiceType!$E$2:$E$16,MATCH(E632,Dim_ServiceType!$A$2:$A$16,0)),"Yes","No"))</f>
        <v>N/A</v>
      </c>
      <c r="P632" s="7" t="str">
        <f t="shared" si="39"/>
        <v>In Progress</v>
      </c>
      <c r="Q632" s="6"/>
      <c r="R632" s="7"/>
    </row>
    <row r="633" spans="1:18" x14ac:dyDescent="0.35">
      <c r="A633" s="6">
        <v>632</v>
      </c>
      <c r="B633" s="7" t="s">
        <v>829</v>
      </c>
      <c r="C633" s="6">
        <v>11</v>
      </c>
      <c r="D633" s="6">
        <v>9</v>
      </c>
      <c r="E633" s="6">
        <v>13</v>
      </c>
      <c r="F633" s="6">
        <v>11</v>
      </c>
      <c r="G633" s="9">
        <v>45702.518576388902</v>
      </c>
      <c r="H633" s="9">
        <v>45702.539409722202</v>
      </c>
      <c r="I633" s="9">
        <v>45706.2019097222</v>
      </c>
      <c r="J633" s="9">
        <v>45706.243576388901</v>
      </c>
      <c r="K633" s="7" t="s">
        <v>207</v>
      </c>
      <c r="L633" s="10">
        <f t="shared" si="36"/>
        <v>0.49999999918509275</v>
      </c>
      <c r="M633" s="10">
        <f t="shared" si="37"/>
        <v>87.899999999965075</v>
      </c>
      <c r="N633" s="10">
        <f t="shared" si="38"/>
        <v>89.399999999965075</v>
      </c>
      <c r="O633" s="7" t="str">
        <f>IF(ISBLANK(I633),"N/A",IF(((I633-H633)*24)&gt;INDEX(Dim_ServiceType!$E$2:$E$16,MATCH(E633,Dim_ServiceType!$A$2:$A$16,0)),"Yes","No"))</f>
        <v>Yes</v>
      </c>
      <c r="P633" s="7" t="str">
        <f t="shared" si="39"/>
        <v>Closed</v>
      </c>
      <c r="Q633" s="6">
        <v>5</v>
      </c>
      <c r="R633" s="7" t="s">
        <v>193</v>
      </c>
    </row>
    <row r="634" spans="1:18" x14ac:dyDescent="0.35">
      <c r="A634" s="6">
        <v>633</v>
      </c>
      <c r="B634" s="7" t="s">
        <v>830</v>
      </c>
      <c r="C634" s="6">
        <v>7</v>
      </c>
      <c r="D634" s="6">
        <v>6</v>
      </c>
      <c r="E634" s="6">
        <v>4</v>
      </c>
      <c r="F634" s="6">
        <v>10</v>
      </c>
      <c r="G634" s="9">
        <v>45923.164490740703</v>
      </c>
      <c r="H634" s="9">
        <v>45923.331157407403</v>
      </c>
      <c r="I634" s="9">
        <v>45923.972824074102</v>
      </c>
      <c r="J634" s="9">
        <v>45924.222824074102</v>
      </c>
      <c r="K634" s="7" t="s">
        <v>207</v>
      </c>
      <c r="L634" s="10">
        <f t="shared" si="36"/>
        <v>4.0000000008149073</v>
      </c>
      <c r="M634" s="10">
        <f t="shared" si="37"/>
        <v>15.400000000779983</v>
      </c>
      <c r="N634" s="10">
        <f t="shared" si="38"/>
        <v>25.40000000159489</v>
      </c>
      <c r="O634" s="7" t="str">
        <f>IF(ISBLANK(I634),"N/A",IF(((I634-H634)*24)&gt;INDEX(Dim_ServiceType!$E$2:$E$16,MATCH(E634,Dim_ServiceType!$A$2:$A$16,0)),"Yes","No"))</f>
        <v>No</v>
      </c>
      <c r="P634" s="7" t="str">
        <f t="shared" si="39"/>
        <v>Closed</v>
      </c>
      <c r="Q634" s="6">
        <v>5</v>
      </c>
      <c r="R634" s="7" t="s">
        <v>196</v>
      </c>
    </row>
    <row r="635" spans="1:18" x14ac:dyDescent="0.35">
      <c r="A635" s="6">
        <v>634</v>
      </c>
      <c r="B635" s="7" t="s">
        <v>831</v>
      </c>
      <c r="C635" s="6">
        <v>10</v>
      </c>
      <c r="D635" s="6">
        <v>9</v>
      </c>
      <c r="E635" s="6">
        <v>10</v>
      </c>
      <c r="F635" s="6">
        <v>13</v>
      </c>
      <c r="G635" s="9">
        <v>45980.310277777797</v>
      </c>
      <c r="H635" s="9">
        <v>45981.310277777797</v>
      </c>
      <c r="I635" s="9">
        <v>45981.585277777798</v>
      </c>
      <c r="J635" s="9">
        <v>45981.751944444499</v>
      </c>
      <c r="K635" s="7" t="s">
        <v>195</v>
      </c>
      <c r="L635" s="10">
        <f t="shared" si="36"/>
        <v>24</v>
      </c>
      <c r="M635" s="10">
        <f t="shared" si="37"/>
        <v>6.6000000000349246</v>
      </c>
      <c r="N635" s="10">
        <f t="shared" si="38"/>
        <v>34.600000000849832</v>
      </c>
      <c r="O635" s="7" t="str">
        <f>IF(ISBLANK(I635),"N/A",IF(((I635-H635)*24)&gt;INDEX(Dim_ServiceType!$E$2:$E$16,MATCH(E635,Dim_ServiceType!$A$2:$A$16,0)),"Yes","No"))</f>
        <v>Yes</v>
      </c>
      <c r="P635" s="7" t="str">
        <f t="shared" si="39"/>
        <v>Closed</v>
      </c>
      <c r="Q635" s="6">
        <v>4</v>
      </c>
      <c r="R635" s="7" t="s">
        <v>196</v>
      </c>
    </row>
    <row r="636" spans="1:18" x14ac:dyDescent="0.35">
      <c r="A636" s="6">
        <v>635</v>
      </c>
      <c r="B636" s="7" t="s">
        <v>832</v>
      </c>
      <c r="C636" s="6">
        <v>7</v>
      </c>
      <c r="D636" s="6">
        <v>2</v>
      </c>
      <c r="E636" s="6">
        <v>11</v>
      </c>
      <c r="F636" s="6">
        <v>1</v>
      </c>
      <c r="G636" s="9">
        <v>45711.165474537003</v>
      </c>
      <c r="H636" s="9">
        <v>45711.332141203697</v>
      </c>
      <c r="I636" s="9">
        <v>45711.5488078704</v>
      </c>
      <c r="J636" s="9">
        <v>45712.0488078704</v>
      </c>
      <c r="K636" s="7" t="s">
        <v>192</v>
      </c>
      <c r="L636" s="10">
        <f t="shared" si="36"/>
        <v>4.0000000006402843</v>
      </c>
      <c r="M636" s="10">
        <f t="shared" si="37"/>
        <v>5.2000000008847564</v>
      </c>
      <c r="N636" s="10">
        <f t="shared" si="38"/>
        <v>21.200000001525041</v>
      </c>
      <c r="O636" s="7" t="str">
        <f>IF(ISBLANK(I636),"N/A",IF(((I636-H636)*24)&gt;INDEX(Dim_ServiceType!$E$2:$E$16,MATCH(E636,Dim_ServiceType!$A$2:$A$16,0)),"Yes","No"))</f>
        <v>No</v>
      </c>
      <c r="P636" s="7" t="str">
        <f t="shared" si="39"/>
        <v>Closed</v>
      </c>
      <c r="Q636" s="6">
        <v>2</v>
      </c>
      <c r="R636" s="7" t="s">
        <v>196</v>
      </c>
    </row>
    <row r="637" spans="1:18" x14ac:dyDescent="0.35">
      <c r="A637" s="6">
        <v>636</v>
      </c>
      <c r="B637" s="7" t="s">
        <v>833</v>
      </c>
      <c r="C637" s="6">
        <v>14</v>
      </c>
      <c r="D637" s="6">
        <v>2</v>
      </c>
      <c r="E637" s="6">
        <v>3</v>
      </c>
      <c r="F637" s="6">
        <v>9</v>
      </c>
      <c r="G637" s="9">
        <v>45793.2374305556</v>
      </c>
      <c r="H637" s="9">
        <v>45793.3207638889</v>
      </c>
      <c r="I637" s="9">
        <v>45793.449930555602</v>
      </c>
      <c r="J637" s="9">
        <v>45794.449930555602</v>
      </c>
      <c r="K637" s="7" t="s">
        <v>195</v>
      </c>
      <c r="L637" s="10">
        <f t="shared" si="36"/>
        <v>1.9999999991850927</v>
      </c>
      <c r="M637" s="10">
        <f t="shared" si="37"/>
        <v>3.1000000008498318</v>
      </c>
      <c r="N637" s="10">
        <f t="shared" si="38"/>
        <v>29.100000000034925</v>
      </c>
      <c r="O637" s="7" t="str">
        <f>IF(ISBLANK(I637),"N/A",IF(((I637-H637)*24)&gt;INDEX(Dim_ServiceType!$E$2:$E$16,MATCH(E637,Dim_ServiceType!$A$2:$A$16,0)),"Yes","No"))</f>
        <v>No</v>
      </c>
      <c r="P637" s="7" t="str">
        <f t="shared" si="39"/>
        <v>Closed</v>
      </c>
      <c r="Q637" s="6">
        <v>4</v>
      </c>
      <c r="R637" s="7" t="s">
        <v>196</v>
      </c>
    </row>
    <row r="638" spans="1:18" x14ac:dyDescent="0.35">
      <c r="A638" s="6">
        <v>637</v>
      </c>
      <c r="B638" s="7" t="s">
        <v>834</v>
      </c>
      <c r="C638" s="6">
        <v>7</v>
      </c>
      <c r="D638" s="6">
        <v>7</v>
      </c>
      <c r="E638" s="6">
        <v>5</v>
      </c>
      <c r="F638" s="6">
        <v>2</v>
      </c>
      <c r="G638" s="9">
        <v>45741.365833333301</v>
      </c>
      <c r="H638" s="9">
        <v>45741.532500000001</v>
      </c>
      <c r="I638" s="9">
        <v>45741.949166666702</v>
      </c>
      <c r="J638" s="9">
        <v>45742.115833333301</v>
      </c>
      <c r="K638" s="7" t="s">
        <v>192</v>
      </c>
      <c r="L638" s="10">
        <f t="shared" si="36"/>
        <v>4.0000000008149073</v>
      </c>
      <c r="M638" s="10">
        <f t="shared" si="37"/>
        <v>10.000000000814907</v>
      </c>
      <c r="N638" s="10">
        <f t="shared" si="38"/>
        <v>18</v>
      </c>
      <c r="O638" s="7" t="str">
        <f>IF(ISBLANK(I638),"N/A",IF(((I638-H638)*24)&gt;INDEX(Dim_ServiceType!$E$2:$E$16,MATCH(E638,Dim_ServiceType!$A$2:$A$16,0)),"Yes","No"))</f>
        <v>No</v>
      </c>
      <c r="P638" s="7" t="str">
        <f t="shared" si="39"/>
        <v>Closed</v>
      </c>
      <c r="Q638" s="6">
        <v>4</v>
      </c>
      <c r="R638" s="7" t="s">
        <v>196</v>
      </c>
    </row>
    <row r="639" spans="1:18" x14ac:dyDescent="0.35">
      <c r="A639" s="6">
        <v>638</v>
      </c>
      <c r="B639" s="7" t="s">
        <v>835</v>
      </c>
      <c r="C639" s="6">
        <v>6</v>
      </c>
      <c r="D639" s="6">
        <v>2</v>
      </c>
      <c r="E639" s="6">
        <v>6</v>
      </c>
      <c r="F639" s="6">
        <v>11</v>
      </c>
      <c r="G639" s="9">
        <v>45685.714293981502</v>
      </c>
      <c r="H639" s="9">
        <v>45685.964293981502</v>
      </c>
      <c r="I639" s="9">
        <v>45694.068460648101</v>
      </c>
      <c r="J639" s="9">
        <v>45694.089293981502</v>
      </c>
      <c r="K639" s="7" t="s">
        <v>200</v>
      </c>
      <c r="L639" s="10">
        <f t="shared" si="36"/>
        <v>6</v>
      </c>
      <c r="M639" s="10">
        <f t="shared" si="37"/>
        <v>194.49999999837019</v>
      </c>
      <c r="N639" s="10">
        <f t="shared" si="38"/>
        <v>201</v>
      </c>
      <c r="O639" s="7" t="str">
        <f>IF(ISBLANK(I639),"N/A",IF(((I639-H639)*24)&gt;INDEX(Dim_ServiceType!$E$2:$E$16,MATCH(E639,Dim_ServiceType!$A$2:$A$16,0)),"Yes","No"))</f>
        <v>Yes</v>
      </c>
      <c r="P639" s="7" t="str">
        <f t="shared" si="39"/>
        <v>Closed</v>
      </c>
      <c r="Q639" s="6">
        <v>3</v>
      </c>
      <c r="R639" s="7" t="s">
        <v>196</v>
      </c>
    </row>
    <row r="640" spans="1:18" x14ac:dyDescent="0.35">
      <c r="A640" s="6">
        <v>639</v>
      </c>
      <c r="B640" s="7" t="s">
        <v>836</v>
      </c>
      <c r="C640" s="6">
        <v>8</v>
      </c>
      <c r="D640" s="6">
        <v>5</v>
      </c>
      <c r="E640" s="6">
        <v>3</v>
      </c>
      <c r="F640" s="6">
        <v>2</v>
      </c>
      <c r="G640" s="9">
        <v>46005.075486111098</v>
      </c>
      <c r="H640" s="9"/>
      <c r="I640" s="9"/>
      <c r="J640" s="9"/>
      <c r="K640" s="7" t="s">
        <v>200</v>
      </c>
      <c r="L640" s="10" t="str">
        <f t="shared" si="36"/>
        <v/>
      </c>
      <c r="M640" s="10" t="str">
        <f t="shared" si="37"/>
        <v/>
      </c>
      <c r="N640" s="10" t="str">
        <f t="shared" si="38"/>
        <v/>
      </c>
      <c r="O640" s="7" t="str">
        <f>IF(ISBLANK(I640),"N/A",IF(((I640-H640)*24)&gt;INDEX(Dim_ServiceType!$E$2:$E$16,MATCH(E640,Dim_ServiceType!$A$2:$A$16,0)),"Yes","No"))</f>
        <v>N/A</v>
      </c>
      <c r="P640" s="7" t="str">
        <f t="shared" si="39"/>
        <v>Open (Unassigned)</v>
      </c>
      <c r="Q640" s="6"/>
      <c r="R640" s="7"/>
    </row>
    <row r="641" spans="1:18" x14ac:dyDescent="0.35">
      <c r="A641" s="6">
        <v>640</v>
      </c>
      <c r="B641" s="7" t="s">
        <v>837</v>
      </c>
      <c r="C641" s="6">
        <v>5</v>
      </c>
      <c r="D641" s="6">
        <v>11</v>
      </c>
      <c r="E641" s="6">
        <v>13</v>
      </c>
      <c r="F641" s="6">
        <v>14</v>
      </c>
      <c r="G641" s="9">
        <v>45813.288946759298</v>
      </c>
      <c r="H641" s="9">
        <v>45813.538946759298</v>
      </c>
      <c r="I641" s="9">
        <v>45813.926446759302</v>
      </c>
      <c r="J641" s="9">
        <v>45814.009780092601</v>
      </c>
      <c r="K641" s="7" t="s">
        <v>198</v>
      </c>
      <c r="L641" s="10">
        <f t="shared" si="36"/>
        <v>6</v>
      </c>
      <c r="M641" s="10">
        <f t="shared" si="37"/>
        <v>9.3000000001047738</v>
      </c>
      <c r="N641" s="10">
        <f t="shared" si="38"/>
        <v>17.299999999289867</v>
      </c>
      <c r="O641" s="7" t="str">
        <f>IF(ISBLANK(I641),"N/A",IF(((I641-H641)*24)&gt;INDEX(Dim_ServiceType!$E$2:$E$16,MATCH(E641,Dim_ServiceType!$A$2:$A$16,0)),"Yes","No"))</f>
        <v>No</v>
      </c>
      <c r="P641" s="7" t="str">
        <f t="shared" si="39"/>
        <v>Closed</v>
      </c>
      <c r="Q641" s="6">
        <v>4</v>
      </c>
      <c r="R641" s="7" t="s">
        <v>196</v>
      </c>
    </row>
    <row r="642" spans="1:18" x14ac:dyDescent="0.35">
      <c r="A642" s="6">
        <v>641</v>
      </c>
      <c r="B642" s="7" t="s">
        <v>838</v>
      </c>
      <c r="C642" s="6">
        <v>7</v>
      </c>
      <c r="D642" s="6">
        <v>3</v>
      </c>
      <c r="E642" s="6">
        <v>13</v>
      </c>
      <c r="F642" s="6">
        <v>15</v>
      </c>
      <c r="G642" s="9">
        <v>45913.686701388899</v>
      </c>
      <c r="H642" s="9">
        <v>45913.770034722198</v>
      </c>
      <c r="I642" s="9">
        <v>45914.378368055601</v>
      </c>
      <c r="J642" s="9">
        <v>45914.878368055601</v>
      </c>
      <c r="K642" s="7" t="s">
        <v>200</v>
      </c>
      <c r="L642" s="10">
        <f t="shared" ref="L642:L705" si="40">IF(ISBLANK(H642),"",(H642-G642)*24)</f>
        <v>1.9999999991850927</v>
      </c>
      <c r="M642" s="10">
        <f t="shared" ref="M642:M705" si="41">IF(ISBLANK(I642),"",(I642-H642)*24)</f>
        <v>14.600000001664739</v>
      </c>
      <c r="N642" s="10">
        <f t="shared" ref="N642:N705" si="42">IF(ISBLANK(J642),"",(J642-G642)*24)</f>
        <v>28.600000000849832</v>
      </c>
      <c r="O642" s="7" t="str">
        <f>IF(ISBLANK(I642),"N/A",IF(((I642-H642)*24)&gt;INDEX(Dim_ServiceType!$E$2:$E$16,MATCH(E642,Dim_ServiceType!$A$2:$A$16,0)),"Yes","No"))</f>
        <v>No</v>
      </c>
      <c r="P642" s="7" t="str">
        <f t="shared" ref="P642:P705" si="43">IF(ISBLANK(H642),"Open (Unassigned)",IF(ISBLANK(I642),"In Progress",IF(ISBLANK(J642),"Resolved (Pending Closure)","Closed")))</f>
        <v>Closed</v>
      </c>
      <c r="Q642" s="6">
        <v>2</v>
      </c>
      <c r="R642" s="7" t="s">
        <v>196</v>
      </c>
    </row>
    <row r="643" spans="1:18" x14ac:dyDescent="0.35">
      <c r="A643" s="6">
        <v>642</v>
      </c>
      <c r="B643" s="7" t="s">
        <v>839</v>
      </c>
      <c r="C643" s="6">
        <v>14</v>
      </c>
      <c r="D643" s="6">
        <v>8</v>
      </c>
      <c r="E643" s="6">
        <v>5</v>
      </c>
      <c r="F643" s="6">
        <v>12</v>
      </c>
      <c r="G643" s="9">
        <v>45752.794537037</v>
      </c>
      <c r="H643" s="9">
        <v>45752.815370370401</v>
      </c>
      <c r="I643" s="9">
        <v>45755.119537036997</v>
      </c>
      <c r="J643" s="9">
        <v>45755.202870370398</v>
      </c>
      <c r="K643" s="7" t="s">
        <v>207</v>
      </c>
      <c r="L643" s="10">
        <f t="shared" si="40"/>
        <v>0.50000000162981451</v>
      </c>
      <c r="M643" s="10">
        <f t="shared" si="41"/>
        <v>55.299999998300336</v>
      </c>
      <c r="N643" s="10">
        <f t="shared" si="42"/>
        <v>57.800000001559965</v>
      </c>
      <c r="O643" s="7" t="str">
        <f>IF(ISBLANK(I643),"N/A",IF(((I643-H643)*24)&gt;INDEX(Dim_ServiceType!$E$2:$E$16,MATCH(E643,Dim_ServiceType!$A$2:$A$16,0)),"Yes","No"))</f>
        <v>Yes</v>
      </c>
      <c r="P643" s="7" t="str">
        <f t="shared" si="43"/>
        <v>Closed</v>
      </c>
      <c r="Q643" s="6">
        <v>4</v>
      </c>
      <c r="R643" s="7" t="s">
        <v>196</v>
      </c>
    </row>
    <row r="644" spans="1:18" x14ac:dyDescent="0.35">
      <c r="A644" s="6">
        <v>643</v>
      </c>
      <c r="B644" s="7" t="s">
        <v>840</v>
      </c>
      <c r="C644" s="6">
        <v>3</v>
      </c>
      <c r="D644" s="6">
        <v>4</v>
      </c>
      <c r="E644" s="6">
        <v>7</v>
      </c>
      <c r="F644" s="6">
        <v>8</v>
      </c>
      <c r="G644" s="9">
        <v>45670.839699074102</v>
      </c>
      <c r="H644" s="9">
        <v>45670.923032407401</v>
      </c>
      <c r="I644" s="9">
        <v>45671.752199074101</v>
      </c>
      <c r="J644" s="9">
        <v>45671.918865740699</v>
      </c>
      <c r="K644" s="7" t="s">
        <v>195</v>
      </c>
      <c r="L644" s="10">
        <f t="shared" si="40"/>
        <v>1.9999999991850927</v>
      </c>
      <c r="M644" s="10">
        <f t="shared" si="41"/>
        <v>19.900000000779983</v>
      </c>
      <c r="N644" s="10">
        <f t="shared" si="42"/>
        <v>25.899999998335261</v>
      </c>
      <c r="O644" s="7" t="str">
        <f>IF(ISBLANK(I644),"N/A",IF(((I644-H644)*24)&gt;INDEX(Dim_ServiceType!$E$2:$E$16,MATCH(E644,Dim_ServiceType!$A$2:$A$16,0)),"Yes","No"))</f>
        <v>No</v>
      </c>
      <c r="P644" s="7" t="str">
        <f t="shared" si="43"/>
        <v>Closed</v>
      </c>
      <c r="Q644" s="6">
        <v>5</v>
      </c>
      <c r="R644" s="7" t="s">
        <v>196</v>
      </c>
    </row>
    <row r="645" spans="1:18" x14ac:dyDescent="0.35">
      <c r="A645" s="6">
        <v>644</v>
      </c>
      <c r="B645" s="7" t="s">
        <v>841</v>
      </c>
      <c r="C645" s="6">
        <v>4</v>
      </c>
      <c r="D645" s="6">
        <v>2</v>
      </c>
      <c r="E645" s="6">
        <v>10</v>
      </c>
      <c r="F645" s="6">
        <v>2</v>
      </c>
      <c r="G645" s="9">
        <v>45880.514224537001</v>
      </c>
      <c r="H645" s="9">
        <v>45880.555891203701</v>
      </c>
      <c r="I645" s="9">
        <v>45880.851724537002</v>
      </c>
      <c r="J645" s="9">
        <v>45881.018391203703</v>
      </c>
      <c r="K645" s="7" t="s">
        <v>192</v>
      </c>
      <c r="L645" s="10">
        <f t="shared" si="40"/>
        <v>1.0000000008149073</v>
      </c>
      <c r="M645" s="10">
        <f t="shared" si="41"/>
        <v>7.0999999992200173</v>
      </c>
      <c r="N645" s="10">
        <f t="shared" si="42"/>
        <v>12.100000000849832</v>
      </c>
      <c r="O645" s="7" t="str">
        <f>IF(ISBLANK(I645),"N/A",IF(((I645-H645)*24)&gt;INDEX(Dim_ServiceType!$E$2:$E$16,MATCH(E645,Dim_ServiceType!$A$2:$A$16,0)),"Yes","No"))</f>
        <v>Yes</v>
      </c>
      <c r="P645" s="7" t="str">
        <f t="shared" si="43"/>
        <v>Closed</v>
      </c>
      <c r="Q645" s="6">
        <v>4</v>
      </c>
      <c r="R645" s="7" t="s">
        <v>196</v>
      </c>
    </row>
    <row r="646" spans="1:18" x14ac:dyDescent="0.35">
      <c r="A646" s="6">
        <v>645</v>
      </c>
      <c r="B646" s="7" t="s">
        <v>842</v>
      </c>
      <c r="C646" s="6">
        <v>8</v>
      </c>
      <c r="D646" s="6">
        <v>11</v>
      </c>
      <c r="E646" s="6">
        <v>13</v>
      </c>
      <c r="F646" s="6">
        <v>7</v>
      </c>
      <c r="G646" s="9">
        <v>45678.652812499997</v>
      </c>
      <c r="H646" s="9">
        <v>45678.673645833303</v>
      </c>
      <c r="I646" s="9">
        <v>45679.873645833301</v>
      </c>
      <c r="J646" s="9">
        <v>45679.894479166702</v>
      </c>
      <c r="K646" s="7" t="s">
        <v>200</v>
      </c>
      <c r="L646" s="10">
        <f t="shared" si="40"/>
        <v>0.49999999935971573</v>
      </c>
      <c r="M646" s="10">
        <f t="shared" si="41"/>
        <v>28.799999999930151</v>
      </c>
      <c r="N646" s="10">
        <f t="shared" si="42"/>
        <v>29.800000000919681</v>
      </c>
      <c r="O646" s="7" t="str">
        <f>IF(ISBLANK(I646),"N/A",IF(((I646-H646)*24)&gt;INDEX(Dim_ServiceType!$E$2:$E$16,MATCH(E646,Dim_ServiceType!$A$2:$A$16,0)),"Yes","No"))</f>
        <v>Yes</v>
      </c>
      <c r="P646" s="7" t="str">
        <f t="shared" si="43"/>
        <v>Closed</v>
      </c>
      <c r="Q646" s="6">
        <v>3</v>
      </c>
      <c r="R646" s="7" t="s">
        <v>196</v>
      </c>
    </row>
    <row r="647" spans="1:18" x14ac:dyDescent="0.35">
      <c r="A647" s="6">
        <v>646</v>
      </c>
      <c r="B647" s="7" t="s">
        <v>843</v>
      </c>
      <c r="C647" s="6">
        <v>10</v>
      </c>
      <c r="D647" s="6">
        <v>3</v>
      </c>
      <c r="E647" s="6">
        <v>9</v>
      </c>
      <c r="F647" s="6">
        <v>12</v>
      </c>
      <c r="G647" s="9">
        <v>45983.073518518497</v>
      </c>
      <c r="H647" s="9">
        <v>45983.094351851898</v>
      </c>
      <c r="I647" s="9">
        <v>45986.065185185202</v>
      </c>
      <c r="J647" s="9">
        <v>45986.231851851902</v>
      </c>
      <c r="K647" s="7" t="s">
        <v>207</v>
      </c>
      <c r="L647" s="10">
        <f t="shared" si="40"/>
        <v>0.50000000162981451</v>
      </c>
      <c r="M647" s="10">
        <f t="shared" si="41"/>
        <v>71.299999999289867</v>
      </c>
      <c r="N647" s="10">
        <f t="shared" si="42"/>
        <v>75.800000001734588</v>
      </c>
      <c r="O647" s="7" t="str">
        <f>IF(ISBLANK(I647),"N/A",IF(((I647-H647)*24)&gt;INDEX(Dim_ServiceType!$E$2:$E$16,MATCH(E647,Dim_ServiceType!$A$2:$A$16,0)),"Yes","No"))</f>
        <v>No</v>
      </c>
      <c r="P647" s="7" t="str">
        <f t="shared" si="43"/>
        <v>Closed</v>
      </c>
      <c r="Q647" s="6">
        <v>3</v>
      </c>
      <c r="R647" s="7" t="s">
        <v>196</v>
      </c>
    </row>
    <row r="648" spans="1:18" x14ac:dyDescent="0.35">
      <c r="A648" s="6">
        <v>647</v>
      </c>
      <c r="B648" s="7" t="s">
        <v>844</v>
      </c>
      <c r="C648" s="6">
        <v>8</v>
      </c>
      <c r="D648" s="6">
        <v>5</v>
      </c>
      <c r="E648" s="6">
        <v>13</v>
      </c>
      <c r="F648" s="6">
        <v>1</v>
      </c>
      <c r="G648" s="9">
        <v>45883.575300925899</v>
      </c>
      <c r="H648" s="9">
        <v>45884.575300925899</v>
      </c>
      <c r="I648" s="9">
        <v>45885.462800925903</v>
      </c>
      <c r="J648" s="9">
        <v>45885.629467592596</v>
      </c>
      <c r="K648" s="7" t="s">
        <v>200</v>
      </c>
      <c r="L648" s="10">
        <f t="shared" si="40"/>
        <v>24</v>
      </c>
      <c r="M648" s="10">
        <f t="shared" si="41"/>
        <v>21.300000000104774</v>
      </c>
      <c r="N648" s="10">
        <f t="shared" si="42"/>
        <v>49.300000000745058</v>
      </c>
      <c r="O648" s="7" t="str">
        <f>IF(ISBLANK(I648),"N/A",IF(((I648-H648)*24)&gt;INDEX(Dim_ServiceType!$E$2:$E$16,MATCH(E648,Dim_ServiceType!$A$2:$A$16,0)),"Yes","No"))</f>
        <v>No</v>
      </c>
      <c r="P648" s="7" t="str">
        <f t="shared" si="43"/>
        <v>Closed</v>
      </c>
      <c r="Q648" s="6">
        <v>4</v>
      </c>
      <c r="R648" s="7" t="s">
        <v>196</v>
      </c>
    </row>
    <row r="649" spans="1:18" x14ac:dyDescent="0.35">
      <c r="A649" s="6">
        <v>648</v>
      </c>
      <c r="B649" s="7" t="s">
        <v>845</v>
      </c>
      <c r="C649" s="6">
        <v>9</v>
      </c>
      <c r="D649" s="6">
        <v>7</v>
      </c>
      <c r="E649" s="6">
        <v>9</v>
      </c>
      <c r="F649" s="6">
        <v>13</v>
      </c>
      <c r="G649" s="9">
        <v>45716.8780555556</v>
      </c>
      <c r="H649" s="9">
        <v>45717.044722222199</v>
      </c>
      <c r="I649" s="9">
        <v>45718.044722222199</v>
      </c>
      <c r="J649" s="9">
        <v>45719.044722222199</v>
      </c>
      <c r="K649" s="7" t="s">
        <v>198</v>
      </c>
      <c r="L649" s="10">
        <f t="shared" si="40"/>
        <v>3.9999999983701855</v>
      </c>
      <c r="M649" s="10">
        <f t="shared" si="41"/>
        <v>24</v>
      </c>
      <c r="N649" s="10">
        <f t="shared" si="42"/>
        <v>51.999999998370185</v>
      </c>
      <c r="O649" s="7" t="str">
        <f>IF(ISBLANK(I649),"N/A",IF(((I649-H649)*24)&gt;INDEX(Dim_ServiceType!$E$2:$E$16,MATCH(E649,Dim_ServiceType!$A$2:$A$16,0)),"Yes","No"))</f>
        <v>No</v>
      </c>
      <c r="P649" s="7" t="str">
        <f t="shared" si="43"/>
        <v>Closed</v>
      </c>
      <c r="Q649" s="6">
        <v>4</v>
      </c>
      <c r="R649" s="7" t="s">
        <v>196</v>
      </c>
    </row>
    <row r="650" spans="1:18" x14ac:dyDescent="0.35">
      <c r="A650" s="6">
        <v>649</v>
      </c>
      <c r="B650" s="7" t="s">
        <v>846</v>
      </c>
      <c r="C650" s="6">
        <v>12</v>
      </c>
      <c r="D650" s="6">
        <v>4</v>
      </c>
      <c r="E650" s="6">
        <v>5</v>
      </c>
      <c r="F650" s="6">
        <v>13</v>
      </c>
      <c r="G650" s="9">
        <v>45907.643229166701</v>
      </c>
      <c r="H650" s="9">
        <v>45907.893229166701</v>
      </c>
      <c r="I650" s="9">
        <v>45908.301562499997</v>
      </c>
      <c r="J650" s="9">
        <v>45908.551562499997</v>
      </c>
      <c r="K650" s="7" t="s">
        <v>200</v>
      </c>
      <c r="L650" s="10">
        <f t="shared" si="40"/>
        <v>6</v>
      </c>
      <c r="M650" s="10">
        <f t="shared" si="41"/>
        <v>9.7999999991152436</v>
      </c>
      <c r="N650" s="10">
        <f t="shared" si="42"/>
        <v>21.799999999115244</v>
      </c>
      <c r="O650" s="7" t="str">
        <f>IF(ISBLANK(I650),"N/A",IF(((I650-H650)*24)&gt;INDEX(Dim_ServiceType!$E$2:$E$16,MATCH(E650,Dim_ServiceType!$A$2:$A$16,0)),"Yes","No"))</f>
        <v>No</v>
      </c>
      <c r="P650" s="7" t="str">
        <f t="shared" si="43"/>
        <v>Closed</v>
      </c>
      <c r="Q650" s="6">
        <v>4</v>
      </c>
      <c r="R650" s="7" t="s">
        <v>196</v>
      </c>
    </row>
    <row r="651" spans="1:18" x14ac:dyDescent="0.35">
      <c r="A651" s="6">
        <v>650</v>
      </c>
      <c r="B651" s="7" t="s">
        <v>847</v>
      </c>
      <c r="C651" s="6">
        <v>8</v>
      </c>
      <c r="D651" s="6">
        <v>9</v>
      </c>
      <c r="E651" s="6">
        <v>9</v>
      </c>
      <c r="F651" s="6">
        <v>15</v>
      </c>
      <c r="G651" s="9">
        <v>45770.101909722202</v>
      </c>
      <c r="H651" s="9">
        <v>45770.185243055603</v>
      </c>
      <c r="I651" s="9">
        <v>45773.8852430556</v>
      </c>
      <c r="J651" s="9">
        <v>45774.1352430556</v>
      </c>
      <c r="K651" s="7" t="s">
        <v>195</v>
      </c>
      <c r="L651" s="10">
        <f t="shared" si="40"/>
        <v>2.0000000016298145</v>
      </c>
      <c r="M651" s="10">
        <f t="shared" si="41"/>
        <v>88.799999999930151</v>
      </c>
      <c r="N651" s="10">
        <f t="shared" si="42"/>
        <v>96.800000001559965</v>
      </c>
      <c r="O651" s="7" t="str">
        <f>IF(ISBLANK(I651),"N/A",IF(((I651-H651)*24)&gt;INDEX(Dim_ServiceType!$E$2:$E$16,MATCH(E651,Dim_ServiceType!$A$2:$A$16,0)),"Yes","No"))</f>
        <v>Yes</v>
      </c>
      <c r="P651" s="7" t="str">
        <f t="shared" si="43"/>
        <v>Closed</v>
      </c>
      <c r="Q651" s="6">
        <v>4</v>
      </c>
      <c r="R651" s="7" t="s">
        <v>196</v>
      </c>
    </row>
    <row r="652" spans="1:18" x14ac:dyDescent="0.35">
      <c r="A652" s="6">
        <v>651</v>
      </c>
      <c r="B652" s="7" t="s">
        <v>848</v>
      </c>
      <c r="C652" s="6">
        <v>10</v>
      </c>
      <c r="D652" s="6">
        <v>1</v>
      </c>
      <c r="E652" s="6">
        <v>5</v>
      </c>
      <c r="F652" s="6">
        <v>6</v>
      </c>
      <c r="G652" s="9">
        <v>45826.003622685203</v>
      </c>
      <c r="H652" s="9">
        <v>45826.024456018502</v>
      </c>
      <c r="I652" s="9">
        <v>45826.211956018502</v>
      </c>
      <c r="J652" s="9">
        <v>45826.711956018502</v>
      </c>
      <c r="K652" s="7" t="s">
        <v>198</v>
      </c>
      <c r="L652" s="10">
        <f t="shared" si="40"/>
        <v>0.49999999918509275</v>
      </c>
      <c r="M652" s="10">
        <f t="shared" si="41"/>
        <v>4.5</v>
      </c>
      <c r="N652" s="10">
        <f t="shared" si="42"/>
        <v>16.999999999185093</v>
      </c>
      <c r="O652" s="7" t="str">
        <f>IF(ISBLANK(I652),"N/A",IF(((I652-H652)*24)&gt;INDEX(Dim_ServiceType!$E$2:$E$16,MATCH(E652,Dim_ServiceType!$A$2:$A$16,0)),"Yes","No"))</f>
        <v>No</v>
      </c>
      <c r="P652" s="7" t="str">
        <f t="shared" si="43"/>
        <v>Closed</v>
      </c>
      <c r="Q652" s="6">
        <v>5</v>
      </c>
      <c r="R652" s="7" t="s">
        <v>196</v>
      </c>
    </row>
    <row r="653" spans="1:18" x14ac:dyDescent="0.35">
      <c r="A653" s="6">
        <v>652</v>
      </c>
      <c r="B653" s="7" t="s">
        <v>849</v>
      </c>
      <c r="C653" s="6">
        <v>4</v>
      </c>
      <c r="D653" s="6">
        <v>8</v>
      </c>
      <c r="E653" s="6">
        <v>15</v>
      </c>
      <c r="F653" s="6">
        <v>11</v>
      </c>
      <c r="G653" s="9">
        <v>45845.271655092598</v>
      </c>
      <c r="H653" s="9">
        <v>45846.271655092598</v>
      </c>
      <c r="I653" s="9">
        <v>45847.2758217593</v>
      </c>
      <c r="J653" s="9">
        <v>45847.359155092599</v>
      </c>
      <c r="K653" s="7" t="s">
        <v>200</v>
      </c>
      <c r="L653" s="10">
        <f t="shared" si="40"/>
        <v>24</v>
      </c>
      <c r="M653" s="10">
        <f t="shared" si="41"/>
        <v>24.100000000849832</v>
      </c>
      <c r="N653" s="10">
        <f t="shared" si="42"/>
        <v>50.100000000034925</v>
      </c>
      <c r="O653" s="7" t="str">
        <f>IF(ISBLANK(I653),"N/A",IF(((I653-H653)*24)&gt;INDEX(Dim_ServiceType!$E$2:$E$16,MATCH(E653,Dim_ServiceType!$A$2:$A$16,0)),"Yes","No"))</f>
        <v>Yes</v>
      </c>
      <c r="P653" s="7" t="str">
        <f t="shared" si="43"/>
        <v>Closed</v>
      </c>
      <c r="Q653" s="6">
        <v>4</v>
      </c>
      <c r="R653" s="7" t="s">
        <v>193</v>
      </c>
    </row>
    <row r="654" spans="1:18" x14ac:dyDescent="0.35">
      <c r="A654" s="6">
        <v>653</v>
      </c>
      <c r="B654" s="7" t="s">
        <v>850</v>
      </c>
      <c r="C654" s="6">
        <v>11</v>
      </c>
      <c r="D654" s="6">
        <v>7</v>
      </c>
      <c r="E654" s="6">
        <v>14</v>
      </c>
      <c r="F654" s="6">
        <v>14</v>
      </c>
      <c r="G654" s="9">
        <v>45790.727581018502</v>
      </c>
      <c r="H654" s="9">
        <v>45790.894247685203</v>
      </c>
      <c r="I654" s="9">
        <v>45791.0317476852</v>
      </c>
      <c r="J654" s="9">
        <v>45791.5317476852</v>
      </c>
      <c r="K654" s="7" t="s">
        <v>192</v>
      </c>
      <c r="L654" s="10">
        <f t="shared" si="40"/>
        <v>4.0000000008149073</v>
      </c>
      <c r="M654" s="10">
        <f t="shared" si="41"/>
        <v>3.2999999999301508</v>
      </c>
      <c r="N654" s="10">
        <f t="shared" si="42"/>
        <v>19.300000000745058</v>
      </c>
      <c r="O654" s="7" t="str">
        <f>IF(ISBLANK(I654),"N/A",IF(((I654-H654)*24)&gt;INDEX(Dim_ServiceType!$E$2:$E$16,MATCH(E654,Dim_ServiceType!$A$2:$A$16,0)),"Yes","No"))</f>
        <v>No</v>
      </c>
      <c r="P654" s="7" t="str">
        <f t="shared" si="43"/>
        <v>Closed</v>
      </c>
      <c r="Q654" s="6">
        <v>4</v>
      </c>
      <c r="R654" s="7" t="s">
        <v>196</v>
      </c>
    </row>
    <row r="655" spans="1:18" x14ac:dyDescent="0.35">
      <c r="A655" s="6">
        <v>654</v>
      </c>
      <c r="B655" s="7" t="s">
        <v>851</v>
      </c>
      <c r="C655" s="6">
        <v>1</v>
      </c>
      <c r="D655" s="6">
        <v>1</v>
      </c>
      <c r="E655" s="6">
        <v>8</v>
      </c>
      <c r="F655" s="6">
        <v>10</v>
      </c>
      <c r="G655" s="9">
        <v>45845.062268518501</v>
      </c>
      <c r="H655" s="9">
        <v>45845.312268518501</v>
      </c>
      <c r="I655" s="9">
        <v>45845.445601851898</v>
      </c>
      <c r="J655" s="9">
        <v>45845.487268518496</v>
      </c>
      <c r="K655" s="7" t="s">
        <v>195</v>
      </c>
      <c r="L655" s="10">
        <f t="shared" si="40"/>
        <v>6</v>
      </c>
      <c r="M655" s="10">
        <f t="shared" si="41"/>
        <v>3.2000000015250407</v>
      </c>
      <c r="N655" s="10">
        <f t="shared" si="42"/>
        <v>10.199999999895226</v>
      </c>
      <c r="O655" s="7" t="str">
        <f>IF(ISBLANK(I655),"N/A",IF(((I655-H655)*24)&gt;INDEX(Dim_ServiceType!$E$2:$E$16,MATCH(E655,Dim_ServiceType!$A$2:$A$16,0)),"Yes","No"))</f>
        <v>No</v>
      </c>
      <c r="P655" s="7" t="str">
        <f t="shared" si="43"/>
        <v>Closed</v>
      </c>
      <c r="Q655" s="6">
        <v>4</v>
      </c>
      <c r="R655" s="7" t="s">
        <v>196</v>
      </c>
    </row>
    <row r="656" spans="1:18" x14ac:dyDescent="0.35">
      <c r="A656" s="6">
        <v>655</v>
      </c>
      <c r="B656" s="7" t="s">
        <v>852</v>
      </c>
      <c r="C656" s="6">
        <v>9</v>
      </c>
      <c r="D656" s="6">
        <v>14</v>
      </c>
      <c r="E656" s="6">
        <v>13</v>
      </c>
      <c r="F656" s="6">
        <v>4</v>
      </c>
      <c r="G656" s="9">
        <v>45844.165613425903</v>
      </c>
      <c r="H656" s="9">
        <v>45844.290613425903</v>
      </c>
      <c r="I656" s="9">
        <v>45845.228113425903</v>
      </c>
      <c r="J656" s="9">
        <v>45845.478113425903</v>
      </c>
      <c r="K656" s="7" t="s">
        <v>207</v>
      </c>
      <c r="L656" s="10">
        <f t="shared" si="40"/>
        <v>3</v>
      </c>
      <c r="M656" s="10">
        <f t="shared" si="41"/>
        <v>22.5</v>
      </c>
      <c r="N656" s="10">
        <f t="shared" si="42"/>
        <v>31.5</v>
      </c>
      <c r="O656" s="7" t="str">
        <f>IF(ISBLANK(I656),"N/A",IF(((I656-H656)*24)&gt;INDEX(Dim_ServiceType!$E$2:$E$16,MATCH(E656,Dim_ServiceType!$A$2:$A$16,0)),"Yes","No"))</f>
        <v>No</v>
      </c>
      <c r="P656" s="7" t="str">
        <f t="shared" si="43"/>
        <v>Closed</v>
      </c>
      <c r="Q656" s="6">
        <v>3</v>
      </c>
      <c r="R656" s="7" t="s">
        <v>196</v>
      </c>
    </row>
    <row r="657" spans="1:18" x14ac:dyDescent="0.35">
      <c r="A657" s="6">
        <v>656</v>
      </c>
      <c r="B657" s="7" t="s">
        <v>853</v>
      </c>
      <c r="C657" s="6">
        <v>8</v>
      </c>
      <c r="D657" s="6">
        <v>6</v>
      </c>
      <c r="E657" s="6">
        <v>4</v>
      </c>
      <c r="F657" s="6">
        <v>1</v>
      </c>
      <c r="G657" s="9">
        <v>45951.730833333299</v>
      </c>
      <c r="H657" s="9">
        <v>45952.230833333299</v>
      </c>
      <c r="I657" s="9">
        <v>45952.589166666701</v>
      </c>
      <c r="J657" s="9">
        <v>45953.089166666701</v>
      </c>
      <c r="K657" s="7" t="s">
        <v>207</v>
      </c>
      <c r="L657" s="10">
        <f t="shared" si="40"/>
        <v>12</v>
      </c>
      <c r="M657" s="10">
        <f t="shared" si="41"/>
        <v>8.6000000016647391</v>
      </c>
      <c r="N657" s="10">
        <f t="shared" si="42"/>
        <v>32.600000001664739</v>
      </c>
      <c r="O657" s="7" t="str">
        <f>IF(ISBLANK(I657),"N/A",IF(((I657-H657)*24)&gt;INDEX(Dim_ServiceType!$E$2:$E$16,MATCH(E657,Dim_ServiceType!$A$2:$A$16,0)),"Yes","No"))</f>
        <v>No</v>
      </c>
      <c r="P657" s="7" t="str">
        <f t="shared" si="43"/>
        <v>Closed</v>
      </c>
      <c r="Q657" s="6">
        <v>3</v>
      </c>
      <c r="R657" s="7" t="s">
        <v>193</v>
      </c>
    </row>
    <row r="658" spans="1:18" x14ac:dyDescent="0.35">
      <c r="A658" s="6">
        <v>657</v>
      </c>
      <c r="B658" s="7" t="s">
        <v>854</v>
      </c>
      <c r="C658" s="6">
        <v>6</v>
      </c>
      <c r="D658" s="6">
        <v>5</v>
      </c>
      <c r="E658" s="6">
        <v>14</v>
      </c>
      <c r="F658" s="6">
        <v>10</v>
      </c>
      <c r="G658" s="9">
        <v>45876.230104166701</v>
      </c>
      <c r="H658" s="9">
        <v>45876.480104166701</v>
      </c>
      <c r="I658" s="9">
        <v>45876.809270833299</v>
      </c>
      <c r="J658" s="9">
        <v>45877.309270833299</v>
      </c>
      <c r="K658" s="7" t="s">
        <v>192</v>
      </c>
      <c r="L658" s="10">
        <f t="shared" si="40"/>
        <v>6</v>
      </c>
      <c r="M658" s="10">
        <f t="shared" si="41"/>
        <v>7.8999999983352609</v>
      </c>
      <c r="N658" s="10">
        <f t="shared" si="42"/>
        <v>25.899999998335261</v>
      </c>
      <c r="O658" s="7" t="str">
        <f>IF(ISBLANK(I658),"N/A",IF(((I658-H658)*24)&gt;INDEX(Dim_ServiceType!$E$2:$E$16,MATCH(E658,Dim_ServiceType!$A$2:$A$16,0)),"Yes","No"))</f>
        <v>No</v>
      </c>
      <c r="P658" s="7" t="str">
        <f t="shared" si="43"/>
        <v>Closed</v>
      </c>
      <c r="Q658" s="6">
        <v>4</v>
      </c>
      <c r="R658" s="7" t="s">
        <v>196</v>
      </c>
    </row>
    <row r="659" spans="1:18" x14ac:dyDescent="0.35">
      <c r="A659" s="6">
        <v>658</v>
      </c>
      <c r="B659" s="7" t="s">
        <v>855</v>
      </c>
      <c r="C659" s="6">
        <v>4</v>
      </c>
      <c r="D659" s="6">
        <v>9</v>
      </c>
      <c r="E659" s="6">
        <v>11</v>
      </c>
      <c r="F659" s="6">
        <v>7</v>
      </c>
      <c r="G659" s="9">
        <v>45770.567824074104</v>
      </c>
      <c r="H659" s="9">
        <v>45770.817824074104</v>
      </c>
      <c r="I659" s="9">
        <v>45771.342824074098</v>
      </c>
      <c r="J659" s="9">
        <v>45771.509490740696</v>
      </c>
      <c r="K659" s="7" t="s">
        <v>192</v>
      </c>
      <c r="L659" s="10">
        <f t="shared" si="40"/>
        <v>6</v>
      </c>
      <c r="M659" s="10">
        <f t="shared" si="41"/>
        <v>12.599999999860302</v>
      </c>
      <c r="N659" s="10">
        <f t="shared" si="42"/>
        <v>22.599999998230487</v>
      </c>
      <c r="O659" s="7" t="str">
        <f>IF(ISBLANK(I659),"N/A",IF(((I659-H659)*24)&gt;INDEX(Dim_ServiceType!$E$2:$E$16,MATCH(E659,Dim_ServiceType!$A$2:$A$16,0)),"Yes","No"))</f>
        <v>Yes</v>
      </c>
      <c r="P659" s="7" t="str">
        <f t="shared" si="43"/>
        <v>Closed</v>
      </c>
      <c r="Q659" s="6">
        <v>2</v>
      </c>
      <c r="R659" s="7" t="s">
        <v>196</v>
      </c>
    </row>
    <row r="660" spans="1:18" x14ac:dyDescent="0.35">
      <c r="A660" s="6">
        <v>659</v>
      </c>
      <c r="B660" s="7" t="s">
        <v>856</v>
      </c>
      <c r="C660" s="6">
        <v>4</v>
      </c>
      <c r="D660" s="6">
        <v>10</v>
      </c>
      <c r="E660" s="6">
        <v>14</v>
      </c>
      <c r="F660" s="6">
        <v>11</v>
      </c>
      <c r="G660" s="9">
        <v>45745.560081018499</v>
      </c>
      <c r="H660" s="9">
        <v>45745.601747685199</v>
      </c>
      <c r="I660" s="9">
        <v>45745.822581018503</v>
      </c>
      <c r="J660" s="9">
        <v>45745.864247685196</v>
      </c>
      <c r="K660" s="7" t="s">
        <v>195</v>
      </c>
      <c r="L660" s="10">
        <f t="shared" si="40"/>
        <v>1.0000000008149073</v>
      </c>
      <c r="M660" s="10">
        <f t="shared" si="41"/>
        <v>5.2999999992898665</v>
      </c>
      <c r="N660" s="10">
        <f t="shared" si="42"/>
        <v>7.3000000007450581</v>
      </c>
      <c r="O660" s="7" t="str">
        <f>IF(ISBLANK(I660),"N/A",IF(((I660-H660)*24)&gt;INDEX(Dim_ServiceType!$E$2:$E$16,MATCH(E660,Dim_ServiceType!$A$2:$A$16,0)),"Yes","No"))</f>
        <v>No</v>
      </c>
      <c r="P660" s="7" t="str">
        <f t="shared" si="43"/>
        <v>Closed</v>
      </c>
      <c r="Q660" s="6">
        <v>4</v>
      </c>
      <c r="R660" s="7" t="s">
        <v>196</v>
      </c>
    </row>
    <row r="661" spans="1:18" x14ac:dyDescent="0.35">
      <c r="A661" s="6">
        <v>660</v>
      </c>
      <c r="B661" s="7" t="s">
        <v>857</v>
      </c>
      <c r="C661" s="6">
        <v>13</v>
      </c>
      <c r="D661" s="6">
        <v>4</v>
      </c>
      <c r="E661" s="6">
        <v>8</v>
      </c>
      <c r="F661" s="6">
        <v>3</v>
      </c>
      <c r="G661" s="9">
        <v>45997.166666666701</v>
      </c>
      <c r="H661" s="9">
        <v>45997.5</v>
      </c>
      <c r="I661" s="9">
        <v>45997.666666666701</v>
      </c>
      <c r="J661" s="9">
        <v>45997.75</v>
      </c>
      <c r="K661" s="7" t="s">
        <v>200</v>
      </c>
      <c r="L661" s="10">
        <f t="shared" si="40"/>
        <v>7.9999999991850927</v>
      </c>
      <c r="M661" s="10">
        <f t="shared" si="41"/>
        <v>4.0000000008149073</v>
      </c>
      <c r="N661" s="10">
        <f t="shared" si="42"/>
        <v>13.999999999185093</v>
      </c>
      <c r="O661" s="7" t="str">
        <f>IF(ISBLANK(I661),"N/A",IF(((I661-H661)*24)&gt;INDEX(Dim_ServiceType!$E$2:$E$16,MATCH(E661,Dim_ServiceType!$A$2:$A$16,0)),"Yes","No"))</f>
        <v>No</v>
      </c>
      <c r="P661" s="7" t="str">
        <f t="shared" si="43"/>
        <v>Closed</v>
      </c>
      <c r="Q661" s="6">
        <v>4</v>
      </c>
      <c r="R661" s="7" t="s">
        <v>196</v>
      </c>
    </row>
    <row r="662" spans="1:18" x14ac:dyDescent="0.35">
      <c r="A662" s="6">
        <v>661</v>
      </c>
      <c r="B662" s="7" t="s">
        <v>858</v>
      </c>
      <c r="C662" s="6">
        <v>2</v>
      </c>
      <c r="D662" s="6">
        <v>5</v>
      </c>
      <c r="E662" s="6">
        <v>6</v>
      </c>
      <c r="F662" s="6">
        <v>1</v>
      </c>
      <c r="G662" s="9">
        <v>46001.952997685199</v>
      </c>
      <c r="H662" s="9"/>
      <c r="I662" s="9"/>
      <c r="J662" s="9"/>
      <c r="K662" s="7" t="s">
        <v>200</v>
      </c>
      <c r="L662" s="10" t="str">
        <f t="shared" si="40"/>
        <v/>
      </c>
      <c r="M662" s="10" t="str">
        <f t="shared" si="41"/>
        <v/>
      </c>
      <c r="N662" s="10" t="str">
        <f t="shared" si="42"/>
        <v/>
      </c>
      <c r="O662" s="7" t="str">
        <f>IF(ISBLANK(I662),"N/A",IF(((I662-H662)*24)&gt;INDEX(Dim_ServiceType!$E$2:$E$16,MATCH(E662,Dim_ServiceType!$A$2:$A$16,0)),"Yes","No"))</f>
        <v>N/A</v>
      </c>
      <c r="P662" s="7" t="str">
        <f t="shared" si="43"/>
        <v>Open (Unassigned)</v>
      </c>
      <c r="Q662" s="6"/>
      <c r="R662" s="7"/>
    </row>
    <row r="663" spans="1:18" x14ac:dyDescent="0.35">
      <c r="A663" s="6">
        <v>662</v>
      </c>
      <c r="B663" s="7" t="s">
        <v>859</v>
      </c>
      <c r="C663" s="6">
        <v>8</v>
      </c>
      <c r="D663" s="6">
        <v>12</v>
      </c>
      <c r="E663" s="6">
        <v>1</v>
      </c>
      <c r="F663" s="6">
        <v>2</v>
      </c>
      <c r="G663" s="9">
        <v>45868.733275462997</v>
      </c>
      <c r="H663" s="9">
        <v>45868.754108796304</v>
      </c>
      <c r="I663" s="9">
        <v>45868.824942129599</v>
      </c>
      <c r="J663" s="9">
        <v>45868.866608796299</v>
      </c>
      <c r="K663" s="7" t="s">
        <v>198</v>
      </c>
      <c r="L663" s="10">
        <f t="shared" si="40"/>
        <v>0.49999999935971573</v>
      </c>
      <c r="M663" s="10">
        <f t="shared" si="41"/>
        <v>1.699999999080319</v>
      </c>
      <c r="N663" s="10">
        <f t="shared" si="42"/>
        <v>3.1999999992549419</v>
      </c>
      <c r="O663" s="7" t="str">
        <f>IF(ISBLANK(I663),"N/A",IF(((I663-H663)*24)&gt;INDEX(Dim_ServiceType!$E$2:$E$16,MATCH(E663,Dim_ServiceType!$A$2:$A$16,0)),"Yes","No"))</f>
        <v>No</v>
      </c>
      <c r="P663" s="7" t="str">
        <f t="shared" si="43"/>
        <v>Closed</v>
      </c>
      <c r="Q663" s="6">
        <v>2</v>
      </c>
      <c r="R663" s="7" t="s">
        <v>196</v>
      </c>
    </row>
    <row r="664" spans="1:18" x14ac:dyDescent="0.35">
      <c r="A664" s="6">
        <v>663</v>
      </c>
      <c r="B664" s="7" t="s">
        <v>860</v>
      </c>
      <c r="C664" s="6">
        <v>9</v>
      </c>
      <c r="D664" s="6">
        <v>2</v>
      </c>
      <c r="E664" s="6">
        <v>9</v>
      </c>
      <c r="F664" s="6">
        <v>1</v>
      </c>
      <c r="G664" s="9">
        <v>45893.0471412037</v>
      </c>
      <c r="H664" s="9">
        <v>45893.380474537</v>
      </c>
      <c r="I664" s="9"/>
      <c r="J664" s="9"/>
      <c r="K664" s="7" t="s">
        <v>200</v>
      </c>
      <c r="L664" s="10">
        <f t="shared" si="40"/>
        <v>7.9999999991850927</v>
      </c>
      <c r="M664" s="10" t="str">
        <f t="shared" si="41"/>
        <v/>
      </c>
      <c r="N664" s="10" t="str">
        <f t="shared" si="42"/>
        <v/>
      </c>
      <c r="O664" s="7" t="str">
        <f>IF(ISBLANK(I664),"N/A",IF(((I664-H664)*24)&gt;INDEX(Dim_ServiceType!$E$2:$E$16,MATCH(E664,Dim_ServiceType!$A$2:$A$16,0)),"Yes","No"))</f>
        <v>N/A</v>
      </c>
      <c r="P664" s="7" t="str">
        <f t="shared" si="43"/>
        <v>In Progress</v>
      </c>
      <c r="Q664" s="6"/>
      <c r="R664" s="7"/>
    </row>
    <row r="665" spans="1:18" x14ac:dyDescent="0.35">
      <c r="A665" s="6">
        <v>664</v>
      </c>
      <c r="B665" s="7" t="s">
        <v>861</v>
      </c>
      <c r="C665" s="6">
        <v>14</v>
      </c>
      <c r="D665" s="6">
        <v>5</v>
      </c>
      <c r="E665" s="6">
        <v>2</v>
      </c>
      <c r="F665" s="6">
        <v>7</v>
      </c>
      <c r="G665" s="9">
        <v>45728.566655092603</v>
      </c>
      <c r="H665" s="9">
        <v>45729.566655092603</v>
      </c>
      <c r="I665" s="9">
        <v>45729.737488425897</v>
      </c>
      <c r="J665" s="9">
        <v>45729.987488425897</v>
      </c>
      <c r="K665" s="7" t="s">
        <v>200</v>
      </c>
      <c r="L665" s="10">
        <f t="shared" si="40"/>
        <v>24</v>
      </c>
      <c r="M665" s="10">
        <f t="shared" si="41"/>
        <v>4.0999999990453944</v>
      </c>
      <c r="N665" s="10">
        <f t="shared" si="42"/>
        <v>34.099999999045394</v>
      </c>
      <c r="O665" s="7" t="str">
        <f>IF(ISBLANK(I665),"N/A",IF(((I665-H665)*24)&gt;INDEX(Dim_ServiceType!$E$2:$E$16,MATCH(E665,Dim_ServiceType!$A$2:$A$16,0)),"Yes","No"))</f>
        <v>No</v>
      </c>
      <c r="P665" s="7" t="str">
        <f t="shared" si="43"/>
        <v>Closed</v>
      </c>
      <c r="Q665" s="6">
        <v>4</v>
      </c>
      <c r="R665" s="7" t="s">
        <v>196</v>
      </c>
    </row>
    <row r="666" spans="1:18" x14ac:dyDescent="0.35">
      <c r="A666" s="6">
        <v>665</v>
      </c>
      <c r="B666" s="7" t="s">
        <v>862</v>
      </c>
      <c r="C666" s="6">
        <v>9</v>
      </c>
      <c r="D666" s="6">
        <v>9</v>
      </c>
      <c r="E666" s="6">
        <v>9</v>
      </c>
      <c r="F666" s="6">
        <v>2</v>
      </c>
      <c r="G666" s="9">
        <v>45875.617719907401</v>
      </c>
      <c r="H666" s="9">
        <v>45875.784386574102</v>
      </c>
      <c r="I666" s="9">
        <v>45877.188553240703</v>
      </c>
      <c r="J666" s="9">
        <v>45878.188553240703</v>
      </c>
      <c r="K666" s="7" t="s">
        <v>200</v>
      </c>
      <c r="L666" s="10">
        <f t="shared" si="40"/>
        <v>4.0000000008149073</v>
      </c>
      <c r="M666" s="10">
        <f t="shared" si="41"/>
        <v>33.699999998440035</v>
      </c>
      <c r="N666" s="10">
        <f t="shared" si="42"/>
        <v>61.699999999254942</v>
      </c>
      <c r="O666" s="7" t="str">
        <f>IF(ISBLANK(I666),"N/A",IF(((I666-H666)*24)&gt;INDEX(Dim_ServiceType!$E$2:$E$16,MATCH(E666,Dim_ServiceType!$A$2:$A$16,0)),"Yes","No"))</f>
        <v>No</v>
      </c>
      <c r="P666" s="7" t="str">
        <f t="shared" si="43"/>
        <v>Closed</v>
      </c>
      <c r="Q666" s="6">
        <v>4</v>
      </c>
      <c r="R666" s="7" t="s">
        <v>196</v>
      </c>
    </row>
    <row r="667" spans="1:18" x14ac:dyDescent="0.35">
      <c r="A667" s="6">
        <v>666</v>
      </c>
      <c r="B667" s="7" t="s">
        <v>863</v>
      </c>
      <c r="C667" s="6">
        <v>5</v>
      </c>
      <c r="D667" s="6">
        <v>12</v>
      </c>
      <c r="E667" s="6">
        <v>1</v>
      </c>
      <c r="F667" s="6">
        <v>5</v>
      </c>
      <c r="G667" s="9">
        <v>45843.574537036999</v>
      </c>
      <c r="H667" s="9">
        <v>45844.074537036999</v>
      </c>
      <c r="I667" s="9">
        <v>45844.770370370403</v>
      </c>
      <c r="J667" s="9">
        <v>45844.791203703702</v>
      </c>
      <c r="K667" s="7" t="s">
        <v>200</v>
      </c>
      <c r="L667" s="10">
        <f t="shared" si="40"/>
        <v>12</v>
      </c>
      <c r="M667" s="10">
        <f t="shared" si="41"/>
        <v>16.700000001699664</v>
      </c>
      <c r="N667" s="10">
        <f t="shared" si="42"/>
        <v>29.200000000884756</v>
      </c>
      <c r="O667" s="7" t="str">
        <f>IF(ISBLANK(I667),"N/A",IF(((I667-H667)*24)&gt;INDEX(Dim_ServiceType!$E$2:$E$16,MATCH(E667,Dim_ServiceType!$A$2:$A$16,0)),"Yes","No"))</f>
        <v>Yes</v>
      </c>
      <c r="P667" s="7" t="str">
        <f t="shared" si="43"/>
        <v>Closed</v>
      </c>
      <c r="Q667" s="6">
        <v>3</v>
      </c>
      <c r="R667" s="7" t="s">
        <v>196</v>
      </c>
    </row>
    <row r="668" spans="1:18" x14ac:dyDescent="0.35">
      <c r="A668" s="6">
        <v>667</v>
      </c>
      <c r="B668" s="7" t="s">
        <v>864</v>
      </c>
      <c r="C668" s="6">
        <v>6</v>
      </c>
      <c r="D668" s="6">
        <v>5</v>
      </c>
      <c r="E668" s="6">
        <v>3</v>
      </c>
      <c r="F668" s="6">
        <v>1</v>
      </c>
      <c r="G668" s="9">
        <v>45717.711400462998</v>
      </c>
      <c r="H668" s="9">
        <v>45717.794733796298</v>
      </c>
      <c r="I668" s="9">
        <v>45718.165567129603</v>
      </c>
      <c r="J668" s="9">
        <v>45718.415567129603</v>
      </c>
      <c r="K668" s="7" t="s">
        <v>200</v>
      </c>
      <c r="L668" s="10">
        <f t="shared" si="40"/>
        <v>1.9999999991850927</v>
      </c>
      <c r="M668" s="10">
        <f t="shared" si="41"/>
        <v>8.8999999993247911</v>
      </c>
      <c r="N668" s="10">
        <f t="shared" si="42"/>
        <v>16.899999998509884</v>
      </c>
      <c r="O668" s="7" t="str">
        <f>IF(ISBLANK(I668),"N/A",IF(((I668-H668)*24)&gt;INDEX(Dim_ServiceType!$E$2:$E$16,MATCH(E668,Dim_ServiceType!$A$2:$A$16,0)),"Yes","No"))</f>
        <v>Yes</v>
      </c>
      <c r="P668" s="7" t="str">
        <f t="shared" si="43"/>
        <v>Closed</v>
      </c>
      <c r="Q668" s="6">
        <v>4</v>
      </c>
      <c r="R668" s="7" t="s">
        <v>196</v>
      </c>
    </row>
    <row r="669" spans="1:18" x14ac:dyDescent="0.35">
      <c r="A669" s="6">
        <v>668</v>
      </c>
      <c r="B669" s="7" t="s">
        <v>865</v>
      </c>
      <c r="C669" s="6">
        <v>8</v>
      </c>
      <c r="D669" s="6">
        <v>11</v>
      </c>
      <c r="E669" s="6">
        <v>5</v>
      </c>
      <c r="F669" s="6">
        <v>7</v>
      </c>
      <c r="G669" s="9">
        <v>46005.3806944444</v>
      </c>
      <c r="H669" s="9"/>
      <c r="I669" s="9"/>
      <c r="J669" s="9"/>
      <c r="K669" s="7" t="s">
        <v>200</v>
      </c>
      <c r="L669" s="10" t="str">
        <f t="shared" si="40"/>
        <v/>
      </c>
      <c r="M669" s="10" t="str">
        <f t="shared" si="41"/>
        <v/>
      </c>
      <c r="N669" s="10" t="str">
        <f t="shared" si="42"/>
        <v/>
      </c>
      <c r="O669" s="7" t="str">
        <f>IF(ISBLANK(I669),"N/A",IF(((I669-H669)*24)&gt;INDEX(Dim_ServiceType!$E$2:$E$16,MATCH(E669,Dim_ServiceType!$A$2:$A$16,0)),"Yes","No"))</f>
        <v>N/A</v>
      </c>
      <c r="P669" s="7" t="str">
        <f t="shared" si="43"/>
        <v>Open (Unassigned)</v>
      </c>
      <c r="Q669" s="6"/>
      <c r="R669" s="7"/>
    </row>
    <row r="670" spans="1:18" x14ac:dyDescent="0.35">
      <c r="A670" s="6">
        <v>669</v>
      </c>
      <c r="B670" s="7" t="s">
        <v>866</v>
      </c>
      <c r="C670" s="6">
        <v>8</v>
      </c>
      <c r="D670" s="6">
        <v>11</v>
      </c>
      <c r="E670" s="6">
        <v>10</v>
      </c>
      <c r="F670" s="6">
        <v>13</v>
      </c>
      <c r="G670" s="9">
        <v>45996.518912036998</v>
      </c>
      <c r="H670" s="9"/>
      <c r="I670" s="9"/>
      <c r="J670" s="9"/>
      <c r="K670" s="7" t="s">
        <v>200</v>
      </c>
      <c r="L670" s="10" t="str">
        <f t="shared" si="40"/>
        <v/>
      </c>
      <c r="M670" s="10" t="str">
        <f t="shared" si="41"/>
        <v/>
      </c>
      <c r="N670" s="10" t="str">
        <f t="shared" si="42"/>
        <v/>
      </c>
      <c r="O670" s="7" t="str">
        <f>IF(ISBLANK(I670),"N/A",IF(((I670-H670)*24)&gt;INDEX(Dim_ServiceType!$E$2:$E$16,MATCH(E670,Dim_ServiceType!$A$2:$A$16,0)),"Yes","No"))</f>
        <v>N/A</v>
      </c>
      <c r="P670" s="7" t="str">
        <f t="shared" si="43"/>
        <v>Open (Unassigned)</v>
      </c>
      <c r="Q670" s="6"/>
      <c r="R670" s="7"/>
    </row>
    <row r="671" spans="1:18" x14ac:dyDescent="0.35">
      <c r="A671" s="6">
        <v>670</v>
      </c>
      <c r="B671" s="7" t="s">
        <v>867</v>
      </c>
      <c r="C671" s="6">
        <v>4</v>
      </c>
      <c r="D671" s="6">
        <v>3</v>
      </c>
      <c r="E671" s="6">
        <v>8</v>
      </c>
      <c r="F671" s="6">
        <v>5</v>
      </c>
      <c r="G671" s="9">
        <v>45849.773680555598</v>
      </c>
      <c r="H671" s="9">
        <v>45849.857013888897</v>
      </c>
      <c r="I671" s="9">
        <v>45850.148680555598</v>
      </c>
      <c r="J671" s="9">
        <v>45850.648680555598</v>
      </c>
      <c r="K671" s="7" t="s">
        <v>207</v>
      </c>
      <c r="L671" s="10">
        <f t="shared" si="40"/>
        <v>1.9999999991850927</v>
      </c>
      <c r="M671" s="10">
        <f t="shared" si="41"/>
        <v>7.0000000008149073</v>
      </c>
      <c r="N671" s="10">
        <f t="shared" si="42"/>
        <v>21</v>
      </c>
      <c r="O671" s="7" t="str">
        <f>IF(ISBLANK(I671),"N/A",IF(((I671-H671)*24)&gt;INDEX(Dim_ServiceType!$E$2:$E$16,MATCH(E671,Dim_ServiceType!$A$2:$A$16,0)),"Yes","No"))</f>
        <v>Yes</v>
      </c>
      <c r="P671" s="7" t="str">
        <f t="shared" si="43"/>
        <v>Closed</v>
      </c>
      <c r="Q671" s="6">
        <v>5</v>
      </c>
      <c r="R671" s="7" t="s">
        <v>196</v>
      </c>
    </row>
    <row r="672" spans="1:18" x14ac:dyDescent="0.35">
      <c r="A672" s="6">
        <v>671</v>
      </c>
      <c r="B672" s="7" t="s">
        <v>868</v>
      </c>
      <c r="C672" s="6">
        <v>3</v>
      </c>
      <c r="D672" s="6">
        <v>12</v>
      </c>
      <c r="E672" s="6">
        <v>1</v>
      </c>
      <c r="F672" s="6">
        <v>13</v>
      </c>
      <c r="G672" s="9">
        <v>45841.384097222202</v>
      </c>
      <c r="H672" s="9">
        <v>45842.134097222202</v>
      </c>
      <c r="I672" s="9"/>
      <c r="J672" s="9"/>
      <c r="K672" s="7" t="s">
        <v>200</v>
      </c>
      <c r="L672" s="10">
        <f t="shared" si="40"/>
        <v>18</v>
      </c>
      <c r="M672" s="10" t="str">
        <f t="shared" si="41"/>
        <v/>
      </c>
      <c r="N672" s="10" t="str">
        <f t="shared" si="42"/>
        <v/>
      </c>
      <c r="O672" s="7" t="str">
        <f>IF(ISBLANK(I672),"N/A",IF(((I672-H672)*24)&gt;INDEX(Dim_ServiceType!$E$2:$E$16,MATCH(E672,Dim_ServiceType!$A$2:$A$16,0)),"Yes","No"))</f>
        <v>N/A</v>
      </c>
      <c r="P672" s="7" t="str">
        <f t="shared" si="43"/>
        <v>In Progress</v>
      </c>
      <c r="Q672" s="6"/>
      <c r="R672" s="7"/>
    </row>
    <row r="673" spans="1:18" x14ac:dyDescent="0.35">
      <c r="A673" s="6">
        <v>672</v>
      </c>
      <c r="B673" s="7" t="s">
        <v>869</v>
      </c>
      <c r="C673" s="6">
        <v>5</v>
      </c>
      <c r="D673" s="6">
        <v>12</v>
      </c>
      <c r="E673" s="6">
        <v>12</v>
      </c>
      <c r="F673" s="6">
        <v>5</v>
      </c>
      <c r="G673" s="9">
        <v>45697.474513888897</v>
      </c>
      <c r="H673" s="9">
        <v>45697.724513888897</v>
      </c>
      <c r="I673" s="9">
        <v>45698.870347222197</v>
      </c>
      <c r="J673" s="9">
        <v>45698.912013888897</v>
      </c>
      <c r="K673" s="7" t="s">
        <v>195</v>
      </c>
      <c r="L673" s="10">
        <f t="shared" si="40"/>
        <v>6</v>
      </c>
      <c r="M673" s="10">
        <f t="shared" si="41"/>
        <v>27.499999999185093</v>
      </c>
      <c r="N673" s="10">
        <f t="shared" si="42"/>
        <v>34.5</v>
      </c>
      <c r="O673" s="7" t="str">
        <f>IF(ISBLANK(I673),"N/A",IF(((I673-H673)*24)&gt;INDEX(Dim_ServiceType!$E$2:$E$16,MATCH(E673,Dim_ServiceType!$A$2:$A$16,0)),"Yes","No"))</f>
        <v>Yes</v>
      </c>
      <c r="P673" s="7" t="str">
        <f t="shared" si="43"/>
        <v>Closed</v>
      </c>
      <c r="Q673" s="6">
        <v>4</v>
      </c>
      <c r="R673" s="7" t="s">
        <v>196</v>
      </c>
    </row>
    <row r="674" spans="1:18" x14ac:dyDescent="0.35">
      <c r="A674" s="6">
        <v>673</v>
      </c>
      <c r="B674" s="7" t="s">
        <v>870</v>
      </c>
      <c r="C674" s="6">
        <v>14</v>
      </c>
      <c r="D674" s="6">
        <v>3</v>
      </c>
      <c r="E674" s="6">
        <v>7</v>
      </c>
      <c r="F674" s="6">
        <v>3</v>
      </c>
      <c r="G674" s="9">
        <v>45957.788680555597</v>
      </c>
      <c r="H674" s="9">
        <v>45958.038680555597</v>
      </c>
      <c r="I674" s="9">
        <v>45958.4845138889</v>
      </c>
      <c r="J674" s="9">
        <v>45959.4845138889</v>
      </c>
      <c r="K674" s="7" t="s">
        <v>192</v>
      </c>
      <c r="L674" s="10">
        <f t="shared" si="40"/>
        <v>6</v>
      </c>
      <c r="M674" s="10">
        <f t="shared" si="41"/>
        <v>10.699999999254942</v>
      </c>
      <c r="N674" s="10">
        <f t="shared" si="42"/>
        <v>40.699999999254942</v>
      </c>
      <c r="O674" s="7" t="str">
        <f>IF(ISBLANK(I674),"N/A",IF(((I674-H674)*24)&gt;INDEX(Dim_ServiceType!$E$2:$E$16,MATCH(E674,Dim_ServiceType!$A$2:$A$16,0)),"Yes","No"))</f>
        <v>No</v>
      </c>
      <c r="P674" s="7" t="str">
        <f t="shared" si="43"/>
        <v>Closed</v>
      </c>
      <c r="Q674" s="6">
        <v>4</v>
      </c>
      <c r="R674" s="7" t="s">
        <v>196</v>
      </c>
    </row>
    <row r="675" spans="1:18" x14ac:dyDescent="0.35">
      <c r="A675" s="6">
        <v>674</v>
      </c>
      <c r="B675" s="7" t="s">
        <v>871</v>
      </c>
      <c r="C675" s="6">
        <v>6</v>
      </c>
      <c r="D675" s="6">
        <v>8</v>
      </c>
      <c r="E675" s="6">
        <v>3</v>
      </c>
      <c r="F675" s="6">
        <v>8</v>
      </c>
      <c r="G675" s="9">
        <v>45954.991446759297</v>
      </c>
      <c r="H675" s="9">
        <v>45955.241446759297</v>
      </c>
      <c r="I675" s="9">
        <v>45955.6081134259</v>
      </c>
      <c r="J675" s="9">
        <v>45956.6081134259</v>
      </c>
      <c r="K675" s="7" t="s">
        <v>192</v>
      </c>
      <c r="L675" s="10">
        <f t="shared" si="40"/>
        <v>6</v>
      </c>
      <c r="M675" s="10">
        <f t="shared" si="41"/>
        <v>8.7999999984749593</v>
      </c>
      <c r="N675" s="10">
        <f t="shared" si="42"/>
        <v>38.799999998474959</v>
      </c>
      <c r="O675" s="7" t="str">
        <f>IF(ISBLANK(I675),"N/A",IF(((I675-H675)*24)&gt;INDEX(Dim_ServiceType!$E$2:$E$16,MATCH(E675,Dim_ServiceType!$A$2:$A$16,0)),"Yes","No"))</f>
        <v>Yes</v>
      </c>
      <c r="P675" s="7" t="str">
        <f t="shared" si="43"/>
        <v>Closed</v>
      </c>
      <c r="Q675" s="6">
        <v>5</v>
      </c>
      <c r="R675" s="7" t="s">
        <v>196</v>
      </c>
    </row>
    <row r="676" spans="1:18" x14ac:dyDescent="0.35">
      <c r="A676" s="6">
        <v>675</v>
      </c>
      <c r="B676" s="7" t="s">
        <v>872</v>
      </c>
      <c r="C676" s="6">
        <v>15</v>
      </c>
      <c r="D676" s="6">
        <v>1</v>
      </c>
      <c r="E676" s="6">
        <v>13</v>
      </c>
      <c r="F676" s="6">
        <v>8</v>
      </c>
      <c r="G676" s="9">
        <v>45664.668171296304</v>
      </c>
      <c r="H676" s="9">
        <v>45665.668171296304</v>
      </c>
      <c r="I676" s="9">
        <v>45666.447337963</v>
      </c>
      <c r="J676" s="9">
        <v>45666.530671296299</v>
      </c>
      <c r="K676" s="7" t="s">
        <v>198</v>
      </c>
      <c r="L676" s="10">
        <f t="shared" si="40"/>
        <v>24</v>
      </c>
      <c r="M676" s="10">
        <f t="shared" si="41"/>
        <v>18.700000000710133</v>
      </c>
      <c r="N676" s="10">
        <f t="shared" si="42"/>
        <v>44.699999999895226</v>
      </c>
      <c r="O676" s="7" t="str">
        <f>IF(ISBLANK(I676),"N/A",IF(((I676-H676)*24)&gt;INDEX(Dim_ServiceType!$E$2:$E$16,MATCH(E676,Dim_ServiceType!$A$2:$A$16,0)),"Yes","No"))</f>
        <v>No</v>
      </c>
      <c r="P676" s="7" t="str">
        <f t="shared" si="43"/>
        <v>Closed</v>
      </c>
      <c r="Q676" s="6">
        <v>5</v>
      </c>
      <c r="R676" s="7" t="s">
        <v>196</v>
      </c>
    </row>
    <row r="677" spans="1:18" x14ac:dyDescent="0.35">
      <c r="A677" s="6">
        <v>676</v>
      </c>
      <c r="B677" s="7" t="s">
        <v>873</v>
      </c>
      <c r="C677" s="6">
        <v>12</v>
      </c>
      <c r="D677" s="6">
        <v>15</v>
      </c>
      <c r="E677" s="6">
        <v>1</v>
      </c>
      <c r="F677" s="6">
        <v>10</v>
      </c>
      <c r="G677" s="9">
        <v>45930.102928240703</v>
      </c>
      <c r="H677" s="9">
        <v>45930.852928240703</v>
      </c>
      <c r="I677" s="9">
        <v>45930.915428240703</v>
      </c>
      <c r="J677" s="9">
        <v>45930.957094907397</v>
      </c>
      <c r="K677" s="7" t="s">
        <v>207</v>
      </c>
      <c r="L677" s="10">
        <f t="shared" si="40"/>
        <v>18</v>
      </c>
      <c r="M677" s="10">
        <f t="shared" si="41"/>
        <v>1.5</v>
      </c>
      <c r="N677" s="10">
        <f t="shared" si="42"/>
        <v>20.500000000640284</v>
      </c>
      <c r="O677" s="7" t="str">
        <f>IF(ISBLANK(I677),"N/A",IF(((I677-H677)*24)&gt;INDEX(Dim_ServiceType!$E$2:$E$16,MATCH(E677,Dim_ServiceType!$A$2:$A$16,0)),"Yes","No"))</f>
        <v>No</v>
      </c>
      <c r="P677" s="7" t="str">
        <f t="shared" si="43"/>
        <v>Closed</v>
      </c>
      <c r="Q677" s="6">
        <v>4</v>
      </c>
      <c r="R677" s="7" t="s">
        <v>196</v>
      </c>
    </row>
    <row r="678" spans="1:18" x14ac:dyDescent="0.35">
      <c r="A678" s="6">
        <v>677</v>
      </c>
      <c r="B678" s="7" t="s">
        <v>874</v>
      </c>
      <c r="C678" s="6">
        <v>4</v>
      </c>
      <c r="D678" s="6">
        <v>8</v>
      </c>
      <c r="E678" s="6">
        <v>4</v>
      </c>
      <c r="F678" s="6">
        <v>4</v>
      </c>
      <c r="G678" s="9">
        <v>45664.162384259304</v>
      </c>
      <c r="H678" s="9">
        <v>45664.495717592603</v>
      </c>
      <c r="I678" s="9">
        <v>45664.824884259302</v>
      </c>
      <c r="J678" s="9">
        <v>45665.824884259302</v>
      </c>
      <c r="K678" s="7" t="s">
        <v>195</v>
      </c>
      <c r="L678" s="10">
        <f t="shared" si="40"/>
        <v>7.9999999991850927</v>
      </c>
      <c r="M678" s="10">
        <f t="shared" si="41"/>
        <v>7.9000000007799827</v>
      </c>
      <c r="N678" s="10">
        <f t="shared" si="42"/>
        <v>39.899999999965075</v>
      </c>
      <c r="O678" s="7" t="str">
        <f>IF(ISBLANK(I678),"N/A",IF(((I678-H678)*24)&gt;INDEX(Dim_ServiceType!$E$2:$E$16,MATCH(E678,Dim_ServiceType!$A$2:$A$16,0)),"Yes","No"))</f>
        <v>No</v>
      </c>
      <c r="P678" s="7" t="str">
        <f t="shared" si="43"/>
        <v>Closed</v>
      </c>
      <c r="Q678" s="6">
        <v>4</v>
      </c>
      <c r="R678" s="7" t="s">
        <v>196</v>
      </c>
    </row>
    <row r="679" spans="1:18" x14ac:dyDescent="0.35">
      <c r="A679" s="6">
        <v>678</v>
      </c>
      <c r="B679" s="7" t="s">
        <v>875</v>
      </c>
      <c r="C679" s="6">
        <v>4</v>
      </c>
      <c r="D679" s="6">
        <v>3</v>
      </c>
      <c r="E679" s="6">
        <v>3</v>
      </c>
      <c r="F679" s="6">
        <v>15</v>
      </c>
      <c r="G679" s="9">
        <v>45662.007708333302</v>
      </c>
      <c r="H679" s="9">
        <v>45662.049375000002</v>
      </c>
      <c r="I679" s="9">
        <v>45662.4160416667</v>
      </c>
      <c r="J679" s="9">
        <v>45662.9160416667</v>
      </c>
      <c r="K679" s="7" t="s">
        <v>207</v>
      </c>
      <c r="L679" s="10">
        <f t="shared" si="40"/>
        <v>1.0000000008149073</v>
      </c>
      <c r="M679" s="10">
        <f t="shared" si="41"/>
        <v>8.8000000007450581</v>
      </c>
      <c r="N679" s="10">
        <f t="shared" si="42"/>
        <v>21.800000001559965</v>
      </c>
      <c r="O679" s="7" t="str">
        <f>IF(ISBLANK(I679),"N/A",IF(((I679-H679)*24)&gt;INDEX(Dim_ServiceType!$E$2:$E$16,MATCH(E679,Dim_ServiceType!$A$2:$A$16,0)),"Yes","No"))</f>
        <v>Yes</v>
      </c>
      <c r="P679" s="7" t="str">
        <f t="shared" si="43"/>
        <v>Closed</v>
      </c>
      <c r="Q679" s="6">
        <v>3</v>
      </c>
      <c r="R679" s="7" t="s">
        <v>196</v>
      </c>
    </row>
    <row r="680" spans="1:18" x14ac:dyDescent="0.35">
      <c r="A680" s="6">
        <v>679</v>
      </c>
      <c r="B680" s="7" t="s">
        <v>876</v>
      </c>
      <c r="C680" s="6">
        <v>9</v>
      </c>
      <c r="D680" s="6">
        <v>4</v>
      </c>
      <c r="E680" s="6">
        <v>15</v>
      </c>
      <c r="F680" s="6">
        <v>10</v>
      </c>
      <c r="G680" s="9">
        <v>45912.191759259302</v>
      </c>
      <c r="H680" s="9">
        <v>45912.316759259302</v>
      </c>
      <c r="I680" s="9">
        <v>45912.691759259302</v>
      </c>
      <c r="J680" s="9">
        <v>45912.775092592601</v>
      </c>
      <c r="K680" s="7" t="s">
        <v>195</v>
      </c>
      <c r="L680" s="10">
        <f t="shared" si="40"/>
        <v>3</v>
      </c>
      <c r="M680" s="10">
        <f t="shared" si="41"/>
        <v>9</v>
      </c>
      <c r="N680" s="10">
        <f t="shared" si="42"/>
        <v>13.999999999185093</v>
      </c>
      <c r="O680" s="7" t="str">
        <f>IF(ISBLANK(I680),"N/A",IF(((I680-H680)*24)&gt;INDEX(Dim_ServiceType!$E$2:$E$16,MATCH(E680,Dim_ServiceType!$A$2:$A$16,0)),"Yes","No"))</f>
        <v>No</v>
      </c>
      <c r="P680" s="7" t="str">
        <f t="shared" si="43"/>
        <v>Closed</v>
      </c>
      <c r="Q680" s="6">
        <v>4</v>
      </c>
      <c r="R680" s="7" t="s">
        <v>196</v>
      </c>
    </row>
    <row r="681" spans="1:18" x14ac:dyDescent="0.35">
      <c r="A681" s="6">
        <v>680</v>
      </c>
      <c r="B681" s="7" t="s">
        <v>877</v>
      </c>
      <c r="C681" s="6">
        <v>11</v>
      </c>
      <c r="D681" s="6">
        <v>1</v>
      </c>
      <c r="E681" s="6">
        <v>7</v>
      </c>
      <c r="F681" s="6">
        <v>12</v>
      </c>
      <c r="G681" s="9">
        <v>45950.660891203697</v>
      </c>
      <c r="H681" s="9">
        <v>45950.702557870398</v>
      </c>
      <c r="I681" s="9">
        <v>45951.498391203699</v>
      </c>
      <c r="J681" s="9">
        <v>45952.498391203699</v>
      </c>
      <c r="K681" s="7" t="s">
        <v>207</v>
      </c>
      <c r="L681" s="10">
        <f t="shared" si="40"/>
        <v>1.0000000008149073</v>
      </c>
      <c r="M681" s="10">
        <f t="shared" si="41"/>
        <v>19.099999999220017</v>
      </c>
      <c r="N681" s="10">
        <f t="shared" si="42"/>
        <v>44.100000000034925</v>
      </c>
      <c r="O681" s="7" t="str">
        <f>IF(ISBLANK(I681),"N/A",IF(((I681-H681)*24)&gt;INDEX(Dim_ServiceType!$E$2:$E$16,MATCH(E681,Dim_ServiceType!$A$2:$A$16,0)),"Yes","No"))</f>
        <v>No</v>
      </c>
      <c r="P681" s="7" t="str">
        <f t="shared" si="43"/>
        <v>Closed</v>
      </c>
      <c r="Q681" s="6">
        <v>3</v>
      </c>
      <c r="R681" s="7" t="s">
        <v>196</v>
      </c>
    </row>
    <row r="682" spans="1:18" x14ac:dyDescent="0.35">
      <c r="A682" s="6">
        <v>681</v>
      </c>
      <c r="B682" s="7" t="s">
        <v>878</v>
      </c>
      <c r="C682" s="6">
        <v>1</v>
      </c>
      <c r="D682" s="6">
        <v>8</v>
      </c>
      <c r="E682" s="6">
        <v>10</v>
      </c>
      <c r="F682" s="6">
        <v>12</v>
      </c>
      <c r="G682" s="9">
        <v>45965.10125</v>
      </c>
      <c r="H682" s="9">
        <v>45965.184583333299</v>
      </c>
      <c r="I682" s="9">
        <v>45965.326249999998</v>
      </c>
      <c r="J682" s="9">
        <v>45965.409583333298</v>
      </c>
      <c r="K682" s="7" t="s">
        <v>198</v>
      </c>
      <c r="L682" s="10">
        <f t="shared" si="40"/>
        <v>1.9999999991850927</v>
      </c>
      <c r="M682" s="10">
        <f t="shared" si="41"/>
        <v>3.4000000007799827</v>
      </c>
      <c r="N682" s="10">
        <f t="shared" si="42"/>
        <v>7.3999999991501682</v>
      </c>
      <c r="O682" s="7" t="str">
        <f>IF(ISBLANK(I682),"N/A",IF(((I682-H682)*24)&gt;INDEX(Dim_ServiceType!$E$2:$E$16,MATCH(E682,Dim_ServiceType!$A$2:$A$16,0)),"Yes","No"))</f>
        <v>No</v>
      </c>
      <c r="P682" s="7" t="str">
        <f t="shared" si="43"/>
        <v>Closed</v>
      </c>
      <c r="Q682" s="6">
        <v>3</v>
      </c>
      <c r="R682" s="7" t="s">
        <v>196</v>
      </c>
    </row>
    <row r="683" spans="1:18" x14ac:dyDescent="0.35">
      <c r="A683" s="6">
        <v>682</v>
      </c>
      <c r="B683" s="7" t="s">
        <v>879</v>
      </c>
      <c r="C683" s="6">
        <v>8</v>
      </c>
      <c r="D683" s="6">
        <v>14</v>
      </c>
      <c r="E683" s="6">
        <v>2</v>
      </c>
      <c r="F683" s="6">
        <v>4</v>
      </c>
      <c r="G683" s="9">
        <v>45881.799548611103</v>
      </c>
      <c r="H683" s="9">
        <v>45882.132881944497</v>
      </c>
      <c r="I683" s="9">
        <v>45882.412048611099</v>
      </c>
      <c r="J683" s="9">
        <v>45882.662048611099</v>
      </c>
      <c r="K683" s="7" t="s">
        <v>207</v>
      </c>
      <c r="L683" s="10">
        <f t="shared" si="40"/>
        <v>8.0000000014551915</v>
      </c>
      <c r="M683" s="10">
        <f t="shared" si="41"/>
        <v>6.6999999984400347</v>
      </c>
      <c r="N683" s="10">
        <f t="shared" si="42"/>
        <v>20.699999999895226</v>
      </c>
      <c r="O683" s="7" t="str">
        <f>IF(ISBLANK(I683),"N/A",IF(((I683-H683)*24)&gt;INDEX(Dim_ServiceType!$E$2:$E$16,MATCH(E683,Dim_ServiceType!$A$2:$A$16,0)),"Yes","No"))</f>
        <v>Yes</v>
      </c>
      <c r="P683" s="7" t="str">
        <f t="shared" si="43"/>
        <v>Closed</v>
      </c>
      <c r="Q683" s="6">
        <v>4</v>
      </c>
      <c r="R683" s="7" t="s">
        <v>196</v>
      </c>
    </row>
    <row r="684" spans="1:18" x14ac:dyDescent="0.35">
      <c r="A684" s="6">
        <v>683</v>
      </c>
      <c r="B684" s="7" t="s">
        <v>880</v>
      </c>
      <c r="C684" s="6">
        <v>8</v>
      </c>
      <c r="D684" s="6">
        <v>1</v>
      </c>
      <c r="E684" s="6">
        <v>6</v>
      </c>
      <c r="F684" s="6">
        <v>9</v>
      </c>
      <c r="G684" s="9">
        <v>45883.518495370401</v>
      </c>
      <c r="H684" s="9">
        <v>45883.8518287037</v>
      </c>
      <c r="I684" s="9">
        <v>45884.751828703702</v>
      </c>
      <c r="J684" s="9">
        <v>45884.772662037001</v>
      </c>
      <c r="K684" s="7" t="s">
        <v>207</v>
      </c>
      <c r="L684" s="10">
        <f t="shared" si="40"/>
        <v>7.9999999991850927</v>
      </c>
      <c r="M684" s="10">
        <f t="shared" si="41"/>
        <v>21.600000000034925</v>
      </c>
      <c r="N684" s="10">
        <f t="shared" si="42"/>
        <v>30.09999999840511</v>
      </c>
      <c r="O684" s="7" t="str">
        <f>IF(ISBLANK(I684),"N/A",IF(((I684-H684)*24)&gt;INDEX(Dim_ServiceType!$E$2:$E$16,MATCH(E684,Dim_ServiceType!$A$2:$A$16,0)),"Yes","No"))</f>
        <v>No</v>
      </c>
      <c r="P684" s="7" t="str">
        <f t="shared" si="43"/>
        <v>Closed</v>
      </c>
      <c r="Q684" s="6">
        <v>4</v>
      </c>
      <c r="R684" s="7" t="s">
        <v>196</v>
      </c>
    </row>
    <row r="685" spans="1:18" x14ac:dyDescent="0.35">
      <c r="A685" s="6">
        <v>684</v>
      </c>
      <c r="B685" s="7" t="s">
        <v>881</v>
      </c>
      <c r="C685" s="6">
        <v>15</v>
      </c>
      <c r="D685" s="6">
        <v>1</v>
      </c>
      <c r="E685" s="6">
        <v>6</v>
      </c>
      <c r="F685" s="6">
        <v>5</v>
      </c>
      <c r="G685" s="9">
        <v>45713.621273148201</v>
      </c>
      <c r="H685" s="9">
        <v>45714.621273148201</v>
      </c>
      <c r="I685" s="9"/>
      <c r="J685" s="9"/>
      <c r="K685" s="7" t="s">
        <v>198</v>
      </c>
      <c r="L685" s="10">
        <f t="shared" si="40"/>
        <v>24</v>
      </c>
      <c r="M685" s="10" t="str">
        <f t="shared" si="41"/>
        <v/>
      </c>
      <c r="N685" s="10" t="str">
        <f t="shared" si="42"/>
        <v/>
      </c>
      <c r="O685" s="7" t="str">
        <f>IF(ISBLANK(I685),"N/A",IF(((I685-H685)*24)&gt;INDEX(Dim_ServiceType!$E$2:$E$16,MATCH(E685,Dim_ServiceType!$A$2:$A$16,0)),"Yes","No"))</f>
        <v>N/A</v>
      </c>
      <c r="P685" s="7" t="str">
        <f t="shared" si="43"/>
        <v>In Progress</v>
      </c>
      <c r="Q685" s="6"/>
      <c r="R685" s="7"/>
    </row>
    <row r="686" spans="1:18" x14ac:dyDescent="0.35">
      <c r="A686" s="6">
        <v>685</v>
      </c>
      <c r="B686" s="7" t="s">
        <v>882</v>
      </c>
      <c r="C686" s="6">
        <v>4</v>
      </c>
      <c r="D686" s="6">
        <v>1</v>
      </c>
      <c r="E686" s="6">
        <v>5</v>
      </c>
      <c r="F686" s="6">
        <v>1</v>
      </c>
      <c r="G686" s="9">
        <v>45834.6557986111</v>
      </c>
      <c r="H686" s="9">
        <v>45834.9057986111</v>
      </c>
      <c r="I686" s="9">
        <v>45835.209965277798</v>
      </c>
      <c r="J686" s="9">
        <v>45836.209965277798</v>
      </c>
      <c r="K686" s="7" t="s">
        <v>198</v>
      </c>
      <c r="L686" s="10">
        <f t="shared" si="40"/>
        <v>6</v>
      </c>
      <c r="M686" s="10">
        <f t="shared" si="41"/>
        <v>7.3000000007450581</v>
      </c>
      <c r="N686" s="10">
        <f t="shared" si="42"/>
        <v>37.300000000745058</v>
      </c>
      <c r="O686" s="7" t="str">
        <f>IF(ISBLANK(I686),"N/A",IF(((I686-H686)*24)&gt;INDEX(Dim_ServiceType!$E$2:$E$16,MATCH(E686,Dim_ServiceType!$A$2:$A$16,0)),"Yes","No"))</f>
        <v>No</v>
      </c>
      <c r="P686" s="7" t="str">
        <f t="shared" si="43"/>
        <v>Closed</v>
      </c>
      <c r="Q686" s="6">
        <v>1</v>
      </c>
      <c r="R686" s="7" t="s">
        <v>196</v>
      </c>
    </row>
    <row r="687" spans="1:18" x14ac:dyDescent="0.35">
      <c r="A687" s="6">
        <v>686</v>
      </c>
      <c r="B687" s="7" t="s">
        <v>883</v>
      </c>
      <c r="C687" s="6">
        <v>15</v>
      </c>
      <c r="D687" s="6">
        <v>7</v>
      </c>
      <c r="E687" s="6">
        <v>1</v>
      </c>
      <c r="F687" s="6">
        <v>7</v>
      </c>
      <c r="G687" s="9">
        <v>45903.835381944496</v>
      </c>
      <c r="H687" s="9">
        <v>45904.168715277803</v>
      </c>
      <c r="I687" s="9"/>
      <c r="J687" s="9"/>
      <c r="K687" s="7" t="s">
        <v>192</v>
      </c>
      <c r="L687" s="10">
        <f t="shared" si="40"/>
        <v>7.9999999993597157</v>
      </c>
      <c r="M687" s="10" t="str">
        <f t="shared" si="41"/>
        <v/>
      </c>
      <c r="N687" s="10" t="str">
        <f t="shared" si="42"/>
        <v/>
      </c>
      <c r="O687" s="7" t="str">
        <f>IF(ISBLANK(I687),"N/A",IF(((I687-H687)*24)&gt;INDEX(Dim_ServiceType!$E$2:$E$16,MATCH(E687,Dim_ServiceType!$A$2:$A$16,0)),"Yes","No"))</f>
        <v>N/A</v>
      </c>
      <c r="P687" s="7" t="str">
        <f t="shared" si="43"/>
        <v>In Progress</v>
      </c>
      <c r="Q687" s="6"/>
      <c r="R687" s="7"/>
    </row>
    <row r="688" spans="1:18" x14ac:dyDescent="0.35">
      <c r="A688" s="6">
        <v>687</v>
      </c>
      <c r="B688" s="7" t="s">
        <v>884</v>
      </c>
      <c r="C688" s="6">
        <v>9</v>
      </c>
      <c r="D688" s="6">
        <v>6</v>
      </c>
      <c r="E688" s="6">
        <v>7</v>
      </c>
      <c r="F688" s="6">
        <v>4</v>
      </c>
      <c r="G688" s="9">
        <v>45891.377986111103</v>
      </c>
      <c r="H688" s="9">
        <v>45891.627986111103</v>
      </c>
      <c r="I688" s="9"/>
      <c r="J688" s="9"/>
      <c r="K688" s="7" t="s">
        <v>200</v>
      </c>
      <c r="L688" s="10">
        <f t="shared" si="40"/>
        <v>6</v>
      </c>
      <c r="M688" s="10" t="str">
        <f t="shared" si="41"/>
        <v/>
      </c>
      <c r="N688" s="10" t="str">
        <f t="shared" si="42"/>
        <v/>
      </c>
      <c r="O688" s="7" t="str">
        <f>IF(ISBLANK(I688),"N/A",IF(((I688-H688)*24)&gt;INDEX(Dim_ServiceType!$E$2:$E$16,MATCH(E688,Dim_ServiceType!$A$2:$A$16,0)),"Yes","No"))</f>
        <v>N/A</v>
      </c>
      <c r="P688" s="7" t="str">
        <f t="shared" si="43"/>
        <v>In Progress</v>
      </c>
      <c r="Q688" s="6"/>
      <c r="R688" s="7"/>
    </row>
    <row r="689" spans="1:18" x14ac:dyDescent="0.35">
      <c r="A689" s="6">
        <v>688</v>
      </c>
      <c r="B689" s="7" t="s">
        <v>885</v>
      </c>
      <c r="C689" s="6">
        <v>13</v>
      </c>
      <c r="D689" s="6">
        <v>13</v>
      </c>
      <c r="E689" s="6">
        <v>3</v>
      </c>
      <c r="F689" s="6">
        <v>3</v>
      </c>
      <c r="G689" s="9">
        <v>45841.142395833303</v>
      </c>
      <c r="H689" s="9">
        <v>45841.475729166697</v>
      </c>
      <c r="I689" s="9">
        <v>45841.804895833302</v>
      </c>
      <c r="J689" s="9">
        <v>45841.971562500003</v>
      </c>
      <c r="K689" s="7" t="s">
        <v>195</v>
      </c>
      <c r="L689" s="10">
        <f t="shared" si="40"/>
        <v>8.0000000014551915</v>
      </c>
      <c r="M689" s="10">
        <f t="shared" si="41"/>
        <v>7.8999999985098839</v>
      </c>
      <c r="N689" s="10">
        <f t="shared" si="42"/>
        <v>19.900000000779983</v>
      </c>
      <c r="O689" s="7" t="str">
        <f>IF(ISBLANK(I689),"N/A",IF(((I689-H689)*24)&gt;INDEX(Dim_ServiceType!$E$2:$E$16,MATCH(E689,Dim_ServiceType!$A$2:$A$16,0)),"Yes","No"))</f>
        <v>No</v>
      </c>
      <c r="P689" s="7" t="str">
        <f t="shared" si="43"/>
        <v>Closed</v>
      </c>
      <c r="Q689" s="6">
        <v>3</v>
      </c>
      <c r="R689" s="7" t="s">
        <v>196</v>
      </c>
    </row>
    <row r="690" spans="1:18" x14ac:dyDescent="0.35">
      <c r="A690" s="6">
        <v>689</v>
      </c>
      <c r="B690" s="7" t="s">
        <v>886</v>
      </c>
      <c r="C690" s="6">
        <v>8</v>
      </c>
      <c r="D690" s="6">
        <v>1</v>
      </c>
      <c r="E690" s="6">
        <v>4</v>
      </c>
      <c r="F690" s="6">
        <v>2</v>
      </c>
      <c r="G690" s="9">
        <v>45688.326620370397</v>
      </c>
      <c r="H690" s="9">
        <v>45688.659953703696</v>
      </c>
      <c r="I690" s="9">
        <v>45689.405787037002</v>
      </c>
      <c r="J690" s="9">
        <v>45689.905787037002</v>
      </c>
      <c r="K690" s="7" t="s">
        <v>198</v>
      </c>
      <c r="L690" s="10">
        <f t="shared" si="40"/>
        <v>7.9999999991850927</v>
      </c>
      <c r="M690" s="10">
        <f t="shared" si="41"/>
        <v>17.899999999324791</v>
      </c>
      <c r="N690" s="10">
        <f t="shared" si="42"/>
        <v>37.899999998509884</v>
      </c>
      <c r="O690" s="7" t="str">
        <f>IF(ISBLANK(I690),"N/A",IF(((I690-H690)*24)&gt;INDEX(Dim_ServiceType!$E$2:$E$16,MATCH(E690,Dim_ServiceType!$A$2:$A$16,0)),"Yes","No"))</f>
        <v>No</v>
      </c>
      <c r="P690" s="7" t="str">
        <f t="shared" si="43"/>
        <v>Closed</v>
      </c>
      <c r="Q690" s="6">
        <v>3</v>
      </c>
      <c r="R690" s="7" t="s">
        <v>196</v>
      </c>
    </row>
    <row r="691" spans="1:18" x14ac:dyDescent="0.35">
      <c r="A691" s="6">
        <v>690</v>
      </c>
      <c r="B691" s="7" t="s">
        <v>887</v>
      </c>
      <c r="C691" s="6">
        <v>3</v>
      </c>
      <c r="D691" s="6">
        <v>1</v>
      </c>
      <c r="E691" s="6">
        <v>15</v>
      </c>
      <c r="F691" s="6">
        <v>6</v>
      </c>
      <c r="G691" s="9">
        <v>45809.3214351852</v>
      </c>
      <c r="H691" s="9">
        <v>45809.5714351852</v>
      </c>
      <c r="I691" s="9">
        <v>45810.479768518497</v>
      </c>
      <c r="J691" s="9">
        <v>45810.563101851898</v>
      </c>
      <c r="K691" s="7" t="s">
        <v>207</v>
      </c>
      <c r="L691" s="10">
        <f t="shared" si="40"/>
        <v>6</v>
      </c>
      <c r="M691" s="10">
        <f t="shared" si="41"/>
        <v>21.799999999115244</v>
      </c>
      <c r="N691" s="10">
        <f t="shared" si="42"/>
        <v>29.800000000745058</v>
      </c>
      <c r="O691" s="7" t="str">
        <f>IF(ISBLANK(I691),"N/A",IF(((I691-H691)*24)&gt;INDEX(Dim_ServiceType!$E$2:$E$16,MATCH(E691,Dim_ServiceType!$A$2:$A$16,0)),"Yes","No"))</f>
        <v>No</v>
      </c>
      <c r="P691" s="7" t="str">
        <f t="shared" si="43"/>
        <v>Closed</v>
      </c>
      <c r="Q691" s="6">
        <v>1</v>
      </c>
      <c r="R691" s="7" t="s">
        <v>196</v>
      </c>
    </row>
    <row r="692" spans="1:18" x14ac:dyDescent="0.35">
      <c r="A692" s="6">
        <v>691</v>
      </c>
      <c r="B692" s="7" t="s">
        <v>888</v>
      </c>
      <c r="C692" s="6">
        <v>4</v>
      </c>
      <c r="D692" s="6">
        <v>2</v>
      </c>
      <c r="E692" s="6">
        <v>11</v>
      </c>
      <c r="F692" s="6">
        <v>7</v>
      </c>
      <c r="G692" s="9">
        <v>45958.362395833297</v>
      </c>
      <c r="H692" s="9">
        <v>45958.404062499998</v>
      </c>
      <c r="I692" s="9">
        <v>45959.004062499997</v>
      </c>
      <c r="J692" s="9">
        <v>45959.045729166697</v>
      </c>
      <c r="K692" s="7" t="s">
        <v>207</v>
      </c>
      <c r="L692" s="10">
        <f t="shared" si="40"/>
        <v>1.0000000008149073</v>
      </c>
      <c r="M692" s="10">
        <f t="shared" si="41"/>
        <v>14.399999999965075</v>
      </c>
      <c r="N692" s="10">
        <f t="shared" si="42"/>
        <v>16.40000000159489</v>
      </c>
      <c r="O692" s="7" t="str">
        <f>IF(ISBLANK(I692),"N/A",IF(((I692-H692)*24)&gt;INDEX(Dim_ServiceType!$E$2:$E$16,MATCH(E692,Dim_ServiceType!$A$2:$A$16,0)),"Yes","No"))</f>
        <v>Yes</v>
      </c>
      <c r="P692" s="7" t="str">
        <f t="shared" si="43"/>
        <v>Closed</v>
      </c>
      <c r="Q692" s="6">
        <v>3</v>
      </c>
      <c r="R692" s="7" t="s">
        <v>193</v>
      </c>
    </row>
    <row r="693" spans="1:18" x14ac:dyDescent="0.35">
      <c r="A693" s="6">
        <v>692</v>
      </c>
      <c r="B693" s="7" t="s">
        <v>889</v>
      </c>
      <c r="C693" s="6">
        <v>2</v>
      </c>
      <c r="D693" s="6">
        <v>13</v>
      </c>
      <c r="E693" s="6">
        <v>4</v>
      </c>
      <c r="F693" s="6">
        <v>15</v>
      </c>
      <c r="G693" s="9">
        <v>45722.173923611103</v>
      </c>
      <c r="H693" s="9">
        <v>45722.194756944496</v>
      </c>
      <c r="I693" s="9">
        <v>45723.378090277802</v>
      </c>
      <c r="J693" s="9">
        <v>45724.378090277802</v>
      </c>
      <c r="K693" s="7" t="s">
        <v>198</v>
      </c>
      <c r="L693" s="10">
        <f t="shared" si="40"/>
        <v>0.50000000145519152</v>
      </c>
      <c r="M693" s="10">
        <f t="shared" si="41"/>
        <v>28.399999999324791</v>
      </c>
      <c r="N693" s="10">
        <f t="shared" si="42"/>
        <v>52.900000000779983</v>
      </c>
      <c r="O693" s="7" t="str">
        <f>IF(ISBLANK(I693),"N/A",IF(((I693-H693)*24)&gt;INDEX(Dim_ServiceType!$E$2:$E$16,MATCH(E693,Dim_ServiceType!$A$2:$A$16,0)),"Yes","No"))</f>
        <v>Yes</v>
      </c>
      <c r="P693" s="7" t="str">
        <f t="shared" si="43"/>
        <v>Closed</v>
      </c>
      <c r="Q693" s="6">
        <v>3</v>
      </c>
      <c r="R693" s="7" t="s">
        <v>196</v>
      </c>
    </row>
    <row r="694" spans="1:18" x14ac:dyDescent="0.35">
      <c r="A694" s="6">
        <v>693</v>
      </c>
      <c r="B694" s="7" t="s">
        <v>890</v>
      </c>
      <c r="C694" s="6">
        <v>7</v>
      </c>
      <c r="D694" s="6">
        <v>10</v>
      </c>
      <c r="E694" s="6">
        <v>3</v>
      </c>
      <c r="F694" s="6">
        <v>5</v>
      </c>
      <c r="G694" s="9">
        <v>45725.211180555598</v>
      </c>
      <c r="H694" s="9">
        <v>45725.252847222197</v>
      </c>
      <c r="I694" s="9">
        <v>45725.4070138889</v>
      </c>
      <c r="J694" s="9">
        <v>45725.9070138889</v>
      </c>
      <c r="K694" s="7" t="s">
        <v>192</v>
      </c>
      <c r="L694" s="10">
        <f t="shared" si="40"/>
        <v>0.99999999837018549</v>
      </c>
      <c r="M694" s="10">
        <f t="shared" si="41"/>
        <v>3.7000000008847564</v>
      </c>
      <c r="N694" s="10">
        <f t="shared" si="42"/>
        <v>16.699999999254942</v>
      </c>
      <c r="O694" s="7" t="str">
        <f>IF(ISBLANK(I694),"N/A",IF(((I694-H694)*24)&gt;INDEX(Dim_ServiceType!$E$2:$E$16,MATCH(E694,Dim_ServiceType!$A$2:$A$16,0)),"Yes","No"))</f>
        <v>No</v>
      </c>
      <c r="P694" s="7" t="str">
        <f t="shared" si="43"/>
        <v>Closed</v>
      </c>
      <c r="Q694" s="6">
        <v>4</v>
      </c>
      <c r="R694" s="7" t="s">
        <v>196</v>
      </c>
    </row>
    <row r="695" spans="1:18" x14ac:dyDescent="0.35">
      <c r="A695" s="6">
        <v>694</v>
      </c>
      <c r="B695" s="7" t="s">
        <v>891</v>
      </c>
      <c r="C695" s="6">
        <v>5</v>
      </c>
      <c r="D695" s="6">
        <v>15</v>
      </c>
      <c r="E695" s="6">
        <v>12</v>
      </c>
      <c r="F695" s="6">
        <v>14</v>
      </c>
      <c r="G695" s="9">
        <v>45664.077094907399</v>
      </c>
      <c r="H695" s="9">
        <v>45664.327094907399</v>
      </c>
      <c r="I695" s="9"/>
      <c r="J695" s="9"/>
      <c r="K695" s="7" t="s">
        <v>192</v>
      </c>
      <c r="L695" s="10">
        <f t="shared" si="40"/>
        <v>6</v>
      </c>
      <c r="M695" s="10" t="str">
        <f t="shared" si="41"/>
        <v/>
      </c>
      <c r="N695" s="10" t="str">
        <f t="shared" si="42"/>
        <v/>
      </c>
      <c r="O695" s="7" t="str">
        <f>IF(ISBLANK(I695),"N/A",IF(((I695-H695)*24)&gt;INDEX(Dim_ServiceType!$E$2:$E$16,MATCH(E695,Dim_ServiceType!$A$2:$A$16,0)),"Yes","No"))</f>
        <v>N/A</v>
      </c>
      <c r="P695" s="7" t="str">
        <f t="shared" si="43"/>
        <v>In Progress</v>
      </c>
      <c r="Q695" s="6"/>
      <c r="R695" s="7"/>
    </row>
    <row r="696" spans="1:18" x14ac:dyDescent="0.35">
      <c r="A696" s="6">
        <v>695</v>
      </c>
      <c r="B696" s="7" t="s">
        <v>892</v>
      </c>
      <c r="C696" s="6">
        <v>1</v>
      </c>
      <c r="D696" s="6">
        <v>14</v>
      </c>
      <c r="E696" s="6">
        <v>14</v>
      </c>
      <c r="F696" s="6">
        <v>3</v>
      </c>
      <c r="G696" s="9">
        <v>45674.694826388899</v>
      </c>
      <c r="H696" s="9">
        <v>45674.7364930556</v>
      </c>
      <c r="I696" s="9">
        <v>45675.003159722197</v>
      </c>
      <c r="J696" s="9">
        <v>45675.253159722197</v>
      </c>
      <c r="K696" s="7" t="s">
        <v>195</v>
      </c>
      <c r="L696" s="10">
        <f t="shared" si="40"/>
        <v>1.0000000008149073</v>
      </c>
      <c r="M696" s="10">
        <f t="shared" si="41"/>
        <v>6.3999999983352609</v>
      </c>
      <c r="N696" s="10">
        <f t="shared" si="42"/>
        <v>13.399999999150168</v>
      </c>
      <c r="O696" s="7" t="str">
        <f>IF(ISBLANK(I696),"N/A",IF(((I696-H696)*24)&gt;INDEX(Dim_ServiceType!$E$2:$E$16,MATCH(E696,Dim_ServiceType!$A$2:$A$16,0)),"Yes","No"))</f>
        <v>No</v>
      </c>
      <c r="P696" s="7" t="str">
        <f t="shared" si="43"/>
        <v>Closed</v>
      </c>
      <c r="Q696" s="6">
        <v>1</v>
      </c>
      <c r="R696" s="7" t="s">
        <v>193</v>
      </c>
    </row>
    <row r="697" spans="1:18" x14ac:dyDescent="0.35">
      <c r="A697" s="6">
        <v>696</v>
      </c>
      <c r="B697" s="7" t="s">
        <v>893</v>
      </c>
      <c r="C697" s="6">
        <v>7</v>
      </c>
      <c r="D697" s="6">
        <v>1</v>
      </c>
      <c r="E697" s="6">
        <v>10</v>
      </c>
      <c r="F697" s="6">
        <v>7</v>
      </c>
      <c r="G697" s="9">
        <v>45768.061932870398</v>
      </c>
      <c r="H697" s="9">
        <v>45768.103599536997</v>
      </c>
      <c r="I697" s="9">
        <v>45768.403599537</v>
      </c>
      <c r="J697" s="9">
        <v>45769.403599537</v>
      </c>
      <c r="K697" s="7" t="s">
        <v>192</v>
      </c>
      <c r="L697" s="10">
        <f t="shared" si="40"/>
        <v>0.99999999837018549</v>
      </c>
      <c r="M697" s="10">
        <f t="shared" si="41"/>
        <v>7.2000000000698492</v>
      </c>
      <c r="N697" s="10">
        <f t="shared" si="42"/>
        <v>32.199999998440035</v>
      </c>
      <c r="O697" s="7" t="str">
        <f>IF(ISBLANK(I697),"N/A",IF(((I697-H697)*24)&gt;INDEX(Dim_ServiceType!$E$2:$E$16,MATCH(E697,Dim_ServiceType!$A$2:$A$16,0)),"Yes","No"))</f>
        <v>Yes</v>
      </c>
      <c r="P697" s="7" t="str">
        <f t="shared" si="43"/>
        <v>Closed</v>
      </c>
      <c r="Q697" s="6">
        <v>5</v>
      </c>
      <c r="R697" s="7" t="s">
        <v>196</v>
      </c>
    </row>
    <row r="698" spans="1:18" x14ac:dyDescent="0.35">
      <c r="A698" s="6">
        <v>697</v>
      </c>
      <c r="B698" s="7" t="s">
        <v>894</v>
      </c>
      <c r="C698" s="6">
        <v>5</v>
      </c>
      <c r="D698" s="6">
        <v>9</v>
      </c>
      <c r="E698" s="6">
        <v>1</v>
      </c>
      <c r="F698" s="6">
        <v>12</v>
      </c>
      <c r="G698" s="9">
        <v>45791.394050925897</v>
      </c>
      <c r="H698" s="9">
        <v>45791.519050925897</v>
      </c>
      <c r="I698" s="9">
        <v>45791.6273842593</v>
      </c>
      <c r="J698" s="9">
        <v>45791.648217592599</v>
      </c>
      <c r="K698" s="7" t="s">
        <v>207</v>
      </c>
      <c r="L698" s="10">
        <f t="shared" si="40"/>
        <v>3</v>
      </c>
      <c r="M698" s="10">
        <f t="shared" si="41"/>
        <v>2.6000000016647391</v>
      </c>
      <c r="N698" s="10">
        <f t="shared" si="42"/>
        <v>6.1000000008498318</v>
      </c>
      <c r="O698" s="7" t="str">
        <f>IF(ISBLANK(I698),"N/A",IF(((I698-H698)*24)&gt;INDEX(Dim_ServiceType!$E$2:$E$16,MATCH(E698,Dim_ServiceType!$A$2:$A$16,0)),"Yes","No"))</f>
        <v>No</v>
      </c>
      <c r="P698" s="7" t="str">
        <f t="shared" si="43"/>
        <v>Closed</v>
      </c>
      <c r="Q698" s="6">
        <v>5</v>
      </c>
      <c r="R698" s="7" t="s">
        <v>196</v>
      </c>
    </row>
    <row r="699" spans="1:18" x14ac:dyDescent="0.35">
      <c r="A699" s="6">
        <v>698</v>
      </c>
      <c r="B699" s="7" t="s">
        <v>895</v>
      </c>
      <c r="C699" s="6">
        <v>14</v>
      </c>
      <c r="D699" s="6">
        <v>2</v>
      </c>
      <c r="E699" s="6">
        <v>8</v>
      </c>
      <c r="F699" s="6">
        <v>2</v>
      </c>
      <c r="G699" s="9">
        <v>45674.641724537003</v>
      </c>
      <c r="H699" s="9">
        <v>45674.891724537003</v>
      </c>
      <c r="I699" s="9">
        <v>45675.883391203701</v>
      </c>
      <c r="J699" s="9">
        <v>45675.904224537</v>
      </c>
      <c r="K699" s="7" t="s">
        <v>198</v>
      </c>
      <c r="L699" s="10">
        <f t="shared" si="40"/>
        <v>6</v>
      </c>
      <c r="M699" s="10">
        <f t="shared" si="41"/>
        <v>23.800000000745058</v>
      </c>
      <c r="N699" s="10">
        <f t="shared" si="42"/>
        <v>30.299999999930151</v>
      </c>
      <c r="O699" s="7" t="str">
        <f>IF(ISBLANK(I699),"N/A",IF(((I699-H699)*24)&gt;INDEX(Dim_ServiceType!$E$2:$E$16,MATCH(E699,Dim_ServiceType!$A$2:$A$16,0)),"Yes","No"))</f>
        <v>Yes</v>
      </c>
      <c r="P699" s="7" t="str">
        <f t="shared" si="43"/>
        <v>Closed</v>
      </c>
      <c r="Q699" s="6">
        <v>5</v>
      </c>
      <c r="R699" s="7" t="s">
        <v>196</v>
      </c>
    </row>
    <row r="700" spans="1:18" x14ac:dyDescent="0.35">
      <c r="A700" s="6">
        <v>699</v>
      </c>
      <c r="B700" s="7" t="s">
        <v>896</v>
      </c>
      <c r="C700" s="6">
        <v>11</v>
      </c>
      <c r="D700" s="6">
        <v>4</v>
      </c>
      <c r="E700" s="6">
        <v>1</v>
      </c>
      <c r="F700" s="6">
        <v>10</v>
      </c>
      <c r="G700" s="9">
        <v>46000.948692129597</v>
      </c>
      <c r="H700" s="9"/>
      <c r="I700" s="9"/>
      <c r="J700" s="9"/>
      <c r="K700" s="7" t="s">
        <v>195</v>
      </c>
      <c r="L700" s="10" t="str">
        <f t="shared" si="40"/>
        <v/>
      </c>
      <c r="M700" s="10" t="str">
        <f t="shared" si="41"/>
        <v/>
      </c>
      <c r="N700" s="10" t="str">
        <f t="shared" si="42"/>
        <v/>
      </c>
      <c r="O700" s="7" t="str">
        <f>IF(ISBLANK(I700),"N/A",IF(((I700-H700)*24)&gt;INDEX(Dim_ServiceType!$E$2:$E$16,MATCH(E700,Dim_ServiceType!$A$2:$A$16,0)),"Yes","No"))</f>
        <v>N/A</v>
      </c>
      <c r="P700" s="7" t="str">
        <f t="shared" si="43"/>
        <v>Open (Unassigned)</v>
      </c>
      <c r="Q700" s="6"/>
      <c r="R700" s="7"/>
    </row>
    <row r="701" spans="1:18" x14ac:dyDescent="0.35">
      <c r="A701" s="6">
        <v>700</v>
      </c>
      <c r="B701" s="7" t="s">
        <v>897</v>
      </c>
      <c r="C701" s="6">
        <v>11</v>
      </c>
      <c r="D701" s="6">
        <v>5</v>
      </c>
      <c r="E701" s="6">
        <v>9</v>
      </c>
      <c r="F701" s="6">
        <v>8</v>
      </c>
      <c r="G701" s="9">
        <v>45990.503553240698</v>
      </c>
      <c r="H701" s="9">
        <v>45990.753553240698</v>
      </c>
      <c r="I701" s="9">
        <v>46006.0910532407</v>
      </c>
      <c r="J701" s="9">
        <v>46006.2577199074</v>
      </c>
      <c r="K701" s="7" t="s">
        <v>198</v>
      </c>
      <c r="L701" s="10">
        <f t="shared" si="40"/>
        <v>6</v>
      </c>
      <c r="M701" s="10">
        <f t="shared" si="41"/>
        <v>368.10000000003492</v>
      </c>
      <c r="N701" s="10">
        <f t="shared" si="42"/>
        <v>378.10000000084983</v>
      </c>
      <c r="O701" s="7" t="str">
        <f>IF(ISBLANK(I701),"N/A",IF(((I701-H701)*24)&gt;INDEX(Dim_ServiceType!$E$2:$E$16,MATCH(E701,Dim_ServiceType!$A$2:$A$16,0)),"Yes","No"))</f>
        <v>Yes</v>
      </c>
      <c r="P701" s="7" t="str">
        <f t="shared" si="43"/>
        <v>Closed</v>
      </c>
      <c r="Q701" s="6">
        <v>5</v>
      </c>
      <c r="R701" s="7" t="s">
        <v>193</v>
      </c>
    </row>
    <row r="702" spans="1:18" x14ac:dyDescent="0.35">
      <c r="A702" s="6">
        <v>701</v>
      </c>
      <c r="B702" s="7" t="s">
        <v>898</v>
      </c>
      <c r="C702" s="6">
        <v>13</v>
      </c>
      <c r="D702" s="6">
        <v>7</v>
      </c>
      <c r="E702" s="6">
        <v>13</v>
      </c>
      <c r="F702" s="6">
        <v>4</v>
      </c>
      <c r="G702" s="9">
        <v>45958.498981481498</v>
      </c>
      <c r="H702" s="9">
        <v>45958.665648148199</v>
      </c>
      <c r="I702" s="9">
        <v>45959.090648148202</v>
      </c>
      <c r="J702" s="9">
        <v>45959.590648148202</v>
      </c>
      <c r="K702" s="7" t="s">
        <v>207</v>
      </c>
      <c r="L702" s="10">
        <f t="shared" si="40"/>
        <v>4.0000000008149073</v>
      </c>
      <c r="M702" s="10">
        <f t="shared" si="41"/>
        <v>10.200000000069849</v>
      </c>
      <c r="N702" s="10">
        <f t="shared" si="42"/>
        <v>26.200000000884756</v>
      </c>
      <c r="O702" s="7" t="str">
        <f>IF(ISBLANK(I702),"N/A",IF(((I702-H702)*24)&gt;INDEX(Dim_ServiceType!$E$2:$E$16,MATCH(E702,Dim_ServiceType!$A$2:$A$16,0)),"Yes","No"))</f>
        <v>No</v>
      </c>
      <c r="P702" s="7" t="str">
        <f t="shared" si="43"/>
        <v>Closed</v>
      </c>
      <c r="Q702" s="6">
        <v>2</v>
      </c>
      <c r="R702" s="7" t="s">
        <v>196</v>
      </c>
    </row>
    <row r="703" spans="1:18" x14ac:dyDescent="0.35">
      <c r="A703" s="6">
        <v>702</v>
      </c>
      <c r="B703" s="7" t="s">
        <v>899</v>
      </c>
      <c r="C703" s="6">
        <v>1</v>
      </c>
      <c r="D703" s="6">
        <v>1</v>
      </c>
      <c r="E703" s="6">
        <v>12</v>
      </c>
      <c r="F703" s="6">
        <v>10</v>
      </c>
      <c r="G703" s="9">
        <v>45965.096643518496</v>
      </c>
      <c r="H703" s="9">
        <v>45966.096643518496</v>
      </c>
      <c r="I703" s="9">
        <v>45966.621643518498</v>
      </c>
      <c r="J703" s="9">
        <v>45966.704976851899</v>
      </c>
      <c r="K703" s="7" t="s">
        <v>207</v>
      </c>
      <c r="L703" s="10">
        <f t="shared" si="40"/>
        <v>24</v>
      </c>
      <c r="M703" s="10">
        <f t="shared" si="41"/>
        <v>12.600000000034925</v>
      </c>
      <c r="N703" s="10">
        <f t="shared" si="42"/>
        <v>38.600000001664739</v>
      </c>
      <c r="O703" s="7" t="str">
        <f>IF(ISBLANK(I703),"N/A",IF(((I703-H703)*24)&gt;INDEX(Dim_ServiceType!$E$2:$E$16,MATCH(E703,Dim_ServiceType!$A$2:$A$16,0)),"Yes","No"))</f>
        <v>No</v>
      </c>
      <c r="P703" s="7" t="str">
        <f t="shared" si="43"/>
        <v>Closed</v>
      </c>
      <c r="Q703" s="6">
        <v>3</v>
      </c>
      <c r="R703" s="7" t="s">
        <v>196</v>
      </c>
    </row>
    <row r="704" spans="1:18" x14ac:dyDescent="0.35">
      <c r="A704" s="6">
        <v>703</v>
      </c>
      <c r="B704" s="7" t="s">
        <v>900</v>
      </c>
      <c r="C704" s="6">
        <v>14</v>
      </c>
      <c r="D704" s="6">
        <v>2</v>
      </c>
      <c r="E704" s="6">
        <v>5</v>
      </c>
      <c r="F704" s="6">
        <v>11</v>
      </c>
      <c r="G704" s="9">
        <v>45733.523379629602</v>
      </c>
      <c r="H704" s="9">
        <v>45733.648379629602</v>
      </c>
      <c r="I704" s="9">
        <v>45734.015046296299</v>
      </c>
      <c r="J704" s="9">
        <v>45735.015046296299</v>
      </c>
      <c r="K704" s="7" t="s">
        <v>207</v>
      </c>
      <c r="L704" s="10">
        <f t="shared" si="40"/>
        <v>3</v>
      </c>
      <c r="M704" s="10">
        <f t="shared" si="41"/>
        <v>8.8000000007450581</v>
      </c>
      <c r="N704" s="10">
        <f t="shared" si="42"/>
        <v>35.800000000745058</v>
      </c>
      <c r="O704" s="7" t="str">
        <f>IF(ISBLANK(I704),"N/A",IF(((I704-H704)*24)&gt;INDEX(Dim_ServiceType!$E$2:$E$16,MATCH(E704,Dim_ServiceType!$A$2:$A$16,0)),"Yes","No"))</f>
        <v>No</v>
      </c>
      <c r="P704" s="7" t="str">
        <f t="shared" si="43"/>
        <v>Closed</v>
      </c>
      <c r="Q704" s="6">
        <v>3</v>
      </c>
      <c r="R704" s="7" t="s">
        <v>196</v>
      </c>
    </row>
    <row r="705" spans="1:18" x14ac:dyDescent="0.35">
      <c r="A705" s="6">
        <v>704</v>
      </c>
      <c r="B705" s="7" t="s">
        <v>901</v>
      </c>
      <c r="C705" s="6">
        <v>7</v>
      </c>
      <c r="D705" s="6">
        <v>13</v>
      </c>
      <c r="E705" s="6">
        <v>8</v>
      </c>
      <c r="F705" s="6">
        <v>14</v>
      </c>
      <c r="G705" s="9">
        <v>45664.881377314799</v>
      </c>
      <c r="H705" s="9">
        <v>45665.381377314799</v>
      </c>
      <c r="I705" s="9">
        <v>45665.631377314799</v>
      </c>
      <c r="J705" s="9">
        <v>45666.131377314799</v>
      </c>
      <c r="K705" s="7" t="s">
        <v>200</v>
      </c>
      <c r="L705" s="10">
        <f t="shared" si="40"/>
        <v>12</v>
      </c>
      <c r="M705" s="10">
        <f t="shared" si="41"/>
        <v>6</v>
      </c>
      <c r="N705" s="10">
        <f t="shared" si="42"/>
        <v>30</v>
      </c>
      <c r="O705" s="7" t="str">
        <f>IF(ISBLANK(I705),"N/A",IF(((I705-H705)*24)&gt;INDEX(Dim_ServiceType!$E$2:$E$16,MATCH(E705,Dim_ServiceType!$A$2:$A$16,0)),"Yes","No"))</f>
        <v>No</v>
      </c>
      <c r="P705" s="7" t="str">
        <f t="shared" si="43"/>
        <v>Closed</v>
      </c>
      <c r="Q705" s="6">
        <v>2</v>
      </c>
      <c r="R705" s="7" t="s">
        <v>196</v>
      </c>
    </row>
    <row r="706" spans="1:18" x14ac:dyDescent="0.35">
      <c r="A706" s="6">
        <v>705</v>
      </c>
      <c r="B706" s="7" t="s">
        <v>902</v>
      </c>
      <c r="C706" s="6">
        <v>7</v>
      </c>
      <c r="D706" s="6">
        <v>1</v>
      </c>
      <c r="E706" s="6">
        <v>4</v>
      </c>
      <c r="F706" s="6">
        <v>1</v>
      </c>
      <c r="G706" s="9">
        <v>45909.427743055603</v>
      </c>
      <c r="H706" s="9">
        <v>45910.427743055603</v>
      </c>
      <c r="I706" s="9">
        <v>45911.340243055602</v>
      </c>
      <c r="J706" s="9">
        <v>45911.361076388901</v>
      </c>
      <c r="K706" s="7" t="s">
        <v>200</v>
      </c>
      <c r="L706" s="10">
        <f t="shared" ref="L706:L769" si="44">IF(ISBLANK(H706),"",(H706-G706)*24)</f>
        <v>24</v>
      </c>
      <c r="M706" s="10">
        <f t="shared" ref="M706:M769" si="45">IF(ISBLANK(I706),"",(I706-H706)*24)</f>
        <v>21.899999999965075</v>
      </c>
      <c r="N706" s="10">
        <f t="shared" ref="N706:N769" si="46">IF(ISBLANK(J706),"",(J706-G706)*24)</f>
        <v>46.399999999150168</v>
      </c>
      <c r="O706" s="7" t="str">
        <f>IF(ISBLANK(I706),"N/A",IF(((I706-H706)*24)&gt;INDEX(Dim_ServiceType!$E$2:$E$16,MATCH(E706,Dim_ServiceType!$A$2:$A$16,0)),"Yes","No"))</f>
        <v>No</v>
      </c>
      <c r="P706" s="7" t="str">
        <f t="shared" ref="P706:P769" si="47">IF(ISBLANK(H706),"Open (Unassigned)",IF(ISBLANK(I706),"In Progress",IF(ISBLANK(J706),"Resolved (Pending Closure)","Closed")))</f>
        <v>Closed</v>
      </c>
      <c r="Q706" s="6">
        <v>4</v>
      </c>
      <c r="R706" s="7" t="s">
        <v>196</v>
      </c>
    </row>
    <row r="707" spans="1:18" x14ac:dyDescent="0.35">
      <c r="A707" s="6">
        <v>706</v>
      </c>
      <c r="B707" s="7" t="s">
        <v>903</v>
      </c>
      <c r="C707" s="6">
        <v>11</v>
      </c>
      <c r="D707" s="6">
        <v>10</v>
      </c>
      <c r="E707" s="6">
        <v>2</v>
      </c>
      <c r="F707" s="6">
        <v>5</v>
      </c>
      <c r="G707" s="9">
        <v>45845.8280324074</v>
      </c>
      <c r="H707" s="9">
        <v>45846.8280324074</v>
      </c>
      <c r="I707" s="9">
        <v>45847.019699074102</v>
      </c>
      <c r="J707" s="9">
        <v>45848.019699074102</v>
      </c>
      <c r="K707" s="7" t="s">
        <v>198</v>
      </c>
      <c r="L707" s="10">
        <f t="shared" si="44"/>
        <v>24</v>
      </c>
      <c r="M707" s="10">
        <f t="shared" si="45"/>
        <v>4.6000000008498318</v>
      </c>
      <c r="N707" s="10">
        <f t="shared" si="46"/>
        <v>52.600000000849832</v>
      </c>
      <c r="O707" s="7" t="str">
        <f>IF(ISBLANK(I707),"N/A",IF(((I707-H707)*24)&gt;INDEX(Dim_ServiceType!$E$2:$E$16,MATCH(E707,Dim_ServiceType!$A$2:$A$16,0)),"Yes","No"))</f>
        <v>No</v>
      </c>
      <c r="P707" s="7" t="str">
        <f t="shared" si="47"/>
        <v>Closed</v>
      </c>
      <c r="Q707" s="6">
        <v>4</v>
      </c>
      <c r="R707" s="7" t="s">
        <v>193</v>
      </c>
    </row>
    <row r="708" spans="1:18" x14ac:dyDescent="0.35">
      <c r="A708" s="6">
        <v>707</v>
      </c>
      <c r="B708" s="7" t="s">
        <v>904</v>
      </c>
      <c r="C708" s="6">
        <v>3</v>
      </c>
      <c r="D708" s="6">
        <v>5</v>
      </c>
      <c r="E708" s="6">
        <v>8</v>
      </c>
      <c r="F708" s="6">
        <v>2</v>
      </c>
      <c r="G708" s="9">
        <v>45763.874004629601</v>
      </c>
      <c r="H708" s="9">
        <v>45763.894837963002</v>
      </c>
      <c r="I708" s="9">
        <v>45764.040671296301</v>
      </c>
      <c r="J708" s="9">
        <v>45764.290671296301</v>
      </c>
      <c r="K708" s="7" t="s">
        <v>192</v>
      </c>
      <c r="L708" s="10">
        <f t="shared" si="44"/>
        <v>0.50000000162981451</v>
      </c>
      <c r="M708" s="10">
        <f t="shared" si="45"/>
        <v>3.4999999991850927</v>
      </c>
      <c r="N708" s="10">
        <f t="shared" si="46"/>
        <v>10.000000000814907</v>
      </c>
      <c r="O708" s="7" t="str">
        <f>IF(ISBLANK(I708),"N/A",IF(((I708-H708)*24)&gt;INDEX(Dim_ServiceType!$E$2:$E$16,MATCH(E708,Dim_ServiceType!$A$2:$A$16,0)),"Yes","No"))</f>
        <v>No</v>
      </c>
      <c r="P708" s="7" t="str">
        <f t="shared" si="47"/>
        <v>Closed</v>
      </c>
      <c r="Q708" s="6">
        <v>5</v>
      </c>
      <c r="R708" s="7" t="s">
        <v>196</v>
      </c>
    </row>
    <row r="709" spans="1:18" x14ac:dyDescent="0.35">
      <c r="A709" s="6">
        <v>708</v>
      </c>
      <c r="B709" s="7" t="s">
        <v>905</v>
      </c>
      <c r="C709" s="6">
        <v>11</v>
      </c>
      <c r="D709" s="6">
        <v>8</v>
      </c>
      <c r="E709" s="6">
        <v>4</v>
      </c>
      <c r="F709" s="6">
        <v>15</v>
      </c>
      <c r="G709" s="9">
        <v>45831.585405092599</v>
      </c>
      <c r="H709" s="9">
        <v>45832.335405092599</v>
      </c>
      <c r="I709" s="9">
        <v>45833.447905092602</v>
      </c>
      <c r="J709" s="9">
        <v>45833.947905092602</v>
      </c>
      <c r="K709" s="7" t="s">
        <v>198</v>
      </c>
      <c r="L709" s="10">
        <f t="shared" si="44"/>
        <v>18</v>
      </c>
      <c r="M709" s="10">
        <f t="shared" si="45"/>
        <v>26.700000000069849</v>
      </c>
      <c r="N709" s="10">
        <f t="shared" si="46"/>
        <v>56.700000000069849</v>
      </c>
      <c r="O709" s="7" t="str">
        <f>IF(ISBLANK(I709),"N/A",IF(((I709-H709)*24)&gt;INDEX(Dim_ServiceType!$E$2:$E$16,MATCH(E709,Dim_ServiceType!$A$2:$A$16,0)),"Yes","No"))</f>
        <v>Yes</v>
      </c>
      <c r="P709" s="7" t="str">
        <f t="shared" si="47"/>
        <v>Closed</v>
      </c>
      <c r="Q709" s="6">
        <v>3</v>
      </c>
      <c r="R709" s="7" t="s">
        <v>193</v>
      </c>
    </row>
    <row r="710" spans="1:18" x14ac:dyDescent="0.35">
      <c r="A710" s="6">
        <v>709</v>
      </c>
      <c r="B710" s="7" t="s">
        <v>906</v>
      </c>
      <c r="C710" s="6">
        <v>2</v>
      </c>
      <c r="D710" s="6">
        <v>7</v>
      </c>
      <c r="E710" s="6">
        <v>4</v>
      </c>
      <c r="F710" s="6">
        <v>3</v>
      </c>
      <c r="G710" s="9">
        <v>45868.627511574101</v>
      </c>
      <c r="H710" s="9">
        <v>45869.627511574101</v>
      </c>
      <c r="I710" s="9">
        <v>45870.656678240703</v>
      </c>
      <c r="J710" s="9">
        <v>45871.656678240703</v>
      </c>
      <c r="K710" s="7" t="s">
        <v>195</v>
      </c>
      <c r="L710" s="10">
        <f t="shared" si="44"/>
        <v>24</v>
      </c>
      <c r="M710" s="10">
        <f t="shared" si="45"/>
        <v>24.699999998440035</v>
      </c>
      <c r="N710" s="10">
        <f t="shared" si="46"/>
        <v>72.699999998440035</v>
      </c>
      <c r="O710" s="7" t="str">
        <f>IF(ISBLANK(I710),"N/A",IF(((I710-H710)*24)&gt;INDEX(Dim_ServiceType!$E$2:$E$16,MATCH(E710,Dim_ServiceType!$A$2:$A$16,0)),"Yes","No"))</f>
        <v>Yes</v>
      </c>
      <c r="P710" s="7" t="str">
        <f t="shared" si="47"/>
        <v>Closed</v>
      </c>
      <c r="Q710" s="6">
        <v>5</v>
      </c>
      <c r="R710" s="7" t="s">
        <v>196</v>
      </c>
    </row>
    <row r="711" spans="1:18" x14ac:dyDescent="0.35">
      <c r="A711" s="6">
        <v>710</v>
      </c>
      <c r="B711" s="7" t="s">
        <v>907</v>
      </c>
      <c r="C711" s="6">
        <v>5</v>
      </c>
      <c r="D711" s="6">
        <v>15</v>
      </c>
      <c r="E711" s="6">
        <v>3</v>
      </c>
      <c r="F711" s="6">
        <v>13</v>
      </c>
      <c r="G711" s="9">
        <v>45775.477928240703</v>
      </c>
      <c r="H711" s="9">
        <v>45776.227928240703</v>
      </c>
      <c r="I711" s="9">
        <v>45776.602928240703</v>
      </c>
      <c r="J711" s="9">
        <v>45776.623761574097</v>
      </c>
      <c r="K711" s="7" t="s">
        <v>198</v>
      </c>
      <c r="L711" s="10">
        <f t="shared" si="44"/>
        <v>18</v>
      </c>
      <c r="M711" s="10">
        <f t="shared" si="45"/>
        <v>9</v>
      </c>
      <c r="N711" s="10">
        <f t="shared" si="46"/>
        <v>27.500000001455192</v>
      </c>
      <c r="O711" s="7" t="str">
        <f>IF(ISBLANK(I711),"N/A",IF(((I711-H711)*24)&gt;INDEX(Dim_ServiceType!$E$2:$E$16,MATCH(E711,Dim_ServiceType!$A$2:$A$16,0)),"Yes","No"))</f>
        <v>Yes</v>
      </c>
      <c r="P711" s="7" t="str">
        <f t="shared" si="47"/>
        <v>Closed</v>
      </c>
      <c r="Q711" s="6">
        <v>4</v>
      </c>
      <c r="R711" s="7" t="s">
        <v>196</v>
      </c>
    </row>
    <row r="712" spans="1:18" x14ac:dyDescent="0.35">
      <c r="A712" s="6">
        <v>711</v>
      </c>
      <c r="B712" s="7" t="s">
        <v>908</v>
      </c>
      <c r="C712" s="6">
        <v>10</v>
      </c>
      <c r="D712" s="6">
        <v>4</v>
      </c>
      <c r="E712" s="6">
        <v>7</v>
      </c>
      <c r="F712" s="6">
        <v>1</v>
      </c>
      <c r="G712" s="9">
        <v>45974.0883217593</v>
      </c>
      <c r="H712" s="9">
        <v>45974.421655092599</v>
      </c>
      <c r="I712" s="9">
        <v>45979.696655092601</v>
      </c>
      <c r="J712" s="9">
        <v>45980.696655092601</v>
      </c>
      <c r="K712" s="7" t="s">
        <v>200</v>
      </c>
      <c r="L712" s="10">
        <f t="shared" si="44"/>
        <v>7.9999999991850927</v>
      </c>
      <c r="M712" s="10">
        <f t="shared" si="45"/>
        <v>126.60000000003492</v>
      </c>
      <c r="N712" s="10">
        <f t="shared" si="46"/>
        <v>158.59999999922002</v>
      </c>
      <c r="O712" s="7" t="str">
        <f>IF(ISBLANK(I712),"N/A",IF(((I712-H712)*24)&gt;INDEX(Dim_ServiceType!$E$2:$E$16,MATCH(E712,Dim_ServiceType!$A$2:$A$16,0)),"Yes","No"))</f>
        <v>Yes</v>
      </c>
      <c r="P712" s="7" t="str">
        <f t="shared" si="47"/>
        <v>Closed</v>
      </c>
      <c r="Q712" s="6">
        <v>1</v>
      </c>
      <c r="R712" s="7" t="s">
        <v>196</v>
      </c>
    </row>
    <row r="713" spans="1:18" x14ac:dyDescent="0.35">
      <c r="A713" s="6">
        <v>712</v>
      </c>
      <c r="B713" s="7" t="s">
        <v>909</v>
      </c>
      <c r="C713" s="6">
        <v>7</v>
      </c>
      <c r="D713" s="6">
        <v>12</v>
      </c>
      <c r="E713" s="6">
        <v>12</v>
      </c>
      <c r="F713" s="6">
        <v>9</v>
      </c>
      <c r="G713" s="9">
        <v>45928.178124999999</v>
      </c>
      <c r="H713" s="9">
        <v>45928.303124999999</v>
      </c>
      <c r="I713" s="9">
        <v>45929.103125000001</v>
      </c>
      <c r="J713" s="9">
        <v>45929.269791666702</v>
      </c>
      <c r="K713" s="7" t="s">
        <v>207</v>
      </c>
      <c r="L713" s="10">
        <f t="shared" si="44"/>
        <v>3</v>
      </c>
      <c r="M713" s="10">
        <f t="shared" si="45"/>
        <v>19.200000000069849</v>
      </c>
      <c r="N713" s="10">
        <f t="shared" si="46"/>
        <v>26.200000000884756</v>
      </c>
      <c r="O713" s="7" t="str">
        <f>IF(ISBLANK(I713),"N/A",IF(((I713-H713)*24)&gt;INDEX(Dim_ServiceType!$E$2:$E$16,MATCH(E713,Dim_ServiceType!$A$2:$A$16,0)),"Yes","No"))</f>
        <v>No</v>
      </c>
      <c r="P713" s="7" t="str">
        <f t="shared" si="47"/>
        <v>Closed</v>
      </c>
      <c r="Q713" s="6">
        <v>4</v>
      </c>
      <c r="R713" s="7" t="s">
        <v>193</v>
      </c>
    </row>
    <row r="714" spans="1:18" x14ac:dyDescent="0.35">
      <c r="A714" s="6">
        <v>713</v>
      </c>
      <c r="B714" s="7" t="s">
        <v>910</v>
      </c>
      <c r="C714" s="6">
        <v>5</v>
      </c>
      <c r="D714" s="6">
        <v>5</v>
      </c>
      <c r="E714" s="6">
        <v>6</v>
      </c>
      <c r="F714" s="6">
        <v>13</v>
      </c>
      <c r="G714" s="9">
        <v>45825.927557870396</v>
      </c>
      <c r="H714" s="9">
        <v>45826.427557870396</v>
      </c>
      <c r="I714" s="9">
        <v>45828.498391203699</v>
      </c>
      <c r="J714" s="9">
        <v>45828.540057870399</v>
      </c>
      <c r="K714" s="7" t="s">
        <v>192</v>
      </c>
      <c r="L714" s="10">
        <f t="shared" si="44"/>
        <v>12</v>
      </c>
      <c r="M714" s="10">
        <f t="shared" si="45"/>
        <v>49.699999999254942</v>
      </c>
      <c r="N714" s="10">
        <f t="shared" si="46"/>
        <v>62.700000000069849</v>
      </c>
      <c r="O714" s="7" t="str">
        <f>IF(ISBLANK(I714),"N/A",IF(((I714-H714)*24)&gt;INDEX(Dim_ServiceType!$E$2:$E$16,MATCH(E714,Dim_ServiceType!$A$2:$A$16,0)),"Yes","No"))</f>
        <v>Yes</v>
      </c>
      <c r="P714" s="7" t="str">
        <f t="shared" si="47"/>
        <v>Closed</v>
      </c>
      <c r="Q714" s="6">
        <v>4</v>
      </c>
      <c r="R714" s="7" t="s">
        <v>196</v>
      </c>
    </row>
    <row r="715" spans="1:18" x14ac:dyDescent="0.35">
      <c r="A715" s="6">
        <v>714</v>
      </c>
      <c r="B715" s="7" t="s">
        <v>911</v>
      </c>
      <c r="C715" s="6">
        <v>10</v>
      </c>
      <c r="D715" s="6">
        <v>8</v>
      </c>
      <c r="E715" s="6">
        <v>15</v>
      </c>
      <c r="F715" s="6">
        <v>4</v>
      </c>
      <c r="G715" s="9">
        <v>45999.616238425901</v>
      </c>
      <c r="H715" s="9">
        <v>45999.657905092601</v>
      </c>
      <c r="I715" s="9">
        <v>46000.374571759297</v>
      </c>
      <c r="J715" s="9">
        <v>46000.395405092597</v>
      </c>
      <c r="K715" s="7" t="s">
        <v>192</v>
      </c>
      <c r="L715" s="10">
        <f t="shared" si="44"/>
        <v>1.0000000008149073</v>
      </c>
      <c r="M715" s="10">
        <f t="shared" si="45"/>
        <v>17.200000000710133</v>
      </c>
      <c r="N715" s="10">
        <f t="shared" si="46"/>
        <v>18.700000000710133</v>
      </c>
      <c r="O715" s="7" t="str">
        <f>IF(ISBLANK(I715),"N/A",IF(((I715-H715)*24)&gt;INDEX(Dim_ServiceType!$E$2:$E$16,MATCH(E715,Dim_ServiceType!$A$2:$A$16,0)),"Yes","No"))</f>
        <v>No</v>
      </c>
      <c r="P715" s="7" t="str">
        <f t="shared" si="47"/>
        <v>Closed</v>
      </c>
      <c r="Q715" s="6">
        <v>3</v>
      </c>
      <c r="R715" s="7" t="s">
        <v>193</v>
      </c>
    </row>
    <row r="716" spans="1:18" x14ac:dyDescent="0.35">
      <c r="A716" s="6">
        <v>715</v>
      </c>
      <c r="B716" s="7" t="s">
        <v>912</v>
      </c>
      <c r="C716" s="6">
        <v>2</v>
      </c>
      <c r="D716" s="6">
        <v>2</v>
      </c>
      <c r="E716" s="6">
        <v>2</v>
      </c>
      <c r="F716" s="6">
        <v>15</v>
      </c>
      <c r="G716" s="9">
        <v>45900.680879629603</v>
      </c>
      <c r="H716" s="9">
        <v>45901.180879629603</v>
      </c>
      <c r="I716" s="9">
        <v>45901.447546296302</v>
      </c>
      <c r="J716" s="9">
        <v>45902.447546296302</v>
      </c>
      <c r="K716" s="7" t="s">
        <v>192</v>
      </c>
      <c r="L716" s="10">
        <f t="shared" si="44"/>
        <v>12</v>
      </c>
      <c r="M716" s="10">
        <f t="shared" si="45"/>
        <v>6.4000000007799827</v>
      </c>
      <c r="N716" s="10">
        <f t="shared" si="46"/>
        <v>42.400000000779983</v>
      </c>
      <c r="O716" s="7" t="str">
        <f>IF(ISBLANK(I716),"N/A",IF(((I716-H716)*24)&gt;INDEX(Dim_ServiceType!$E$2:$E$16,MATCH(E716,Dim_ServiceType!$A$2:$A$16,0)),"Yes","No"))</f>
        <v>Yes</v>
      </c>
      <c r="P716" s="7" t="str">
        <f t="shared" si="47"/>
        <v>Closed</v>
      </c>
      <c r="Q716" s="6">
        <v>3</v>
      </c>
      <c r="R716" s="7" t="s">
        <v>196</v>
      </c>
    </row>
    <row r="717" spans="1:18" x14ac:dyDescent="0.35">
      <c r="A717" s="6">
        <v>716</v>
      </c>
      <c r="B717" s="7" t="s">
        <v>913</v>
      </c>
      <c r="C717" s="6">
        <v>4</v>
      </c>
      <c r="D717" s="6">
        <v>11</v>
      </c>
      <c r="E717" s="6">
        <v>3</v>
      </c>
      <c r="F717" s="6">
        <v>7</v>
      </c>
      <c r="G717" s="9">
        <v>45927.684629629599</v>
      </c>
      <c r="H717" s="9">
        <v>45927.8512962963</v>
      </c>
      <c r="I717" s="9">
        <v>45928.280462962997</v>
      </c>
      <c r="J717" s="9">
        <v>45928.301296296297</v>
      </c>
      <c r="K717" s="7" t="s">
        <v>200</v>
      </c>
      <c r="L717" s="10">
        <f t="shared" si="44"/>
        <v>4.0000000008149073</v>
      </c>
      <c r="M717" s="10">
        <f t="shared" si="45"/>
        <v>10.300000000745058</v>
      </c>
      <c r="N717" s="10">
        <f t="shared" si="46"/>
        <v>14.800000000745058</v>
      </c>
      <c r="O717" s="7" t="str">
        <f>IF(ISBLANK(I717),"N/A",IF(((I717-H717)*24)&gt;INDEX(Dim_ServiceType!$E$2:$E$16,MATCH(E717,Dim_ServiceType!$A$2:$A$16,0)),"Yes","No"))</f>
        <v>Yes</v>
      </c>
      <c r="P717" s="7" t="str">
        <f t="shared" si="47"/>
        <v>Closed</v>
      </c>
      <c r="Q717" s="6">
        <v>5</v>
      </c>
      <c r="R717" s="7" t="s">
        <v>196</v>
      </c>
    </row>
    <row r="718" spans="1:18" x14ac:dyDescent="0.35">
      <c r="A718" s="6">
        <v>717</v>
      </c>
      <c r="B718" s="7" t="s">
        <v>914</v>
      </c>
      <c r="C718" s="6">
        <v>12</v>
      </c>
      <c r="D718" s="6">
        <v>1</v>
      </c>
      <c r="E718" s="6">
        <v>6</v>
      </c>
      <c r="F718" s="6">
        <v>5</v>
      </c>
      <c r="G718" s="9">
        <v>45954.657187500001</v>
      </c>
      <c r="H718" s="9">
        <v>45954.7405208333</v>
      </c>
      <c r="I718" s="9">
        <v>45956.015520833302</v>
      </c>
      <c r="J718" s="9">
        <v>45957.015520833302</v>
      </c>
      <c r="K718" s="7" t="s">
        <v>200</v>
      </c>
      <c r="L718" s="10">
        <f t="shared" si="44"/>
        <v>1.9999999991850927</v>
      </c>
      <c r="M718" s="10">
        <f t="shared" si="45"/>
        <v>30.600000000034925</v>
      </c>
      <c r="N718" s="10">
        <f t="shared" si="46"/>
        <v>56.599999999220017</v>
      </c>
      <c r="O718" s="7" t="str">
        <f>IF(ISBLANK(I718),"N/A",IF(((I718-H718)*24)&gt;INDEX(Dim_ServiceType!$E$2:$E$16,MATCH(E718,Dim_ServiceType!$A$2:$A$16,0)),"Yes","No"))</f>
        <v>No</v>
      </c>
      <c r="P718" s="7" t="str">
        <f t="shared" si="47"/>
        <v>Closed</v>
      </c>
      <c r="Q718" s="6">
        <v>4</v>
      </c>
      <c r="R718" s="7" t="s">
        <v>196</v>
      </c>
    </row>
    <row r="719" spans="1:18" x14ac:dyDescent="0.35">
      <c r="A719" s="6">
        <v>718</v>
      </c>
      <c r="B719" s="7" t="s">
        <v>915</v>
      </c>
      <c r="C719" s="6">
        <v>5</v>
      </c>
      <c r="D719" s="6">
        <v>15</v>
      </c>
      <c r="E719" s="6">
        <v>8</v>
      </c>
      <c r="F719" s="6">
        <v>2</v>
      </c>
      <c r="G719" s="9">
        <v>45983.911979166704</v>
      </c>
      <c r="H719" s="9">
        <v>45984.911979166704</v>
      </c>
      <c r="I719" s="9">
        <v>45985.157812500001</v>
      </c>
      <c r="J719" s="9">
        <v>45985.324479166702</v>
      </c>
      <c r="K719" s="7" t="s">
        <v>200</v>
      </c>
      <c r="L719" s="10">
        <f t="shared" si="44"/>
        <v>24</v>
      </c>
      <c r="M719" s="10">
        <f t="shared" si="45"/>
        <v>5.8999999991501682</v>
      </c>
      <c r="N719" s="10">
        <f t="shared" si="46"/>
        <v>33.899999999965075</v>
      </c>
      <c r="O719" s="7" t="str">
        <f>IF(ISBLANK(I719),"N/A",IF(((I719-H719)*24)&gt;INDEX(Dim_ServiceType!$E$2:$E$16,MATCH(E719,Dim_ServiceType!$A$2:$A$16,0)),"Yes","No"))</f>
        <v>No</v>
      </c>
      <c r="P719" s="7" t="str">
        <f t="shared" si="47"/>
        <v>Closed</v>
      </c>
      <c r="Q719" s="6">
        <v>2</v>
      </c>
      <c r="R719" s="7" t="s">
        <v>196</v>
      </c>
    </row>
    <row r="720" spans="1:18" x14ac:dyDescent="0.35">
      <c r="A720" s="6">
        <v>719</v>
      </c>
      <c r="B720" s="7" t="s">
        <v>916</v>
      </c>
      <c r="C720" s="6">
        <v>2</v>
      </c>
      <c r="D720" s="6">
        <v>4</v>
      </c>
      <c r="E720" s="6">
        <v>9</v>
      </c>
      <c r="F720" s="6">
        <v>5</v>
      </c>
      <c r="G720" s="9">
        <v>45686.153414351902</v>
      </c>
      <c r="H720" s="9">
        <v>45686.195081018501</v>
      </c>
      <c r="I720" s="9">
        <v>45689.832581018498</v>
      </c>
      <c r="J720" s="9">
        <v>45689.874247685198</v>
      </c>
      <c r="K720" s="7" t="s">
        <v>207</v>
      </c>
      <c r="L720" s="10">
        <f t="shared" si="44"/>
        <v>0.99999999837018549</v>
      </c>
      <c r="M720" s="10">
        <f t="shared" si="45"/>
        <v>87.299999999930151</v>
      </c>
      <c r="N720" s="10">
        <f t="shared" si="46"/>
        <v>89.299999999115244</v>
      </c>
      <c r="O720" s="7" t="str">
        <f>IF(ISBLANK(I720),"N/A",IF(((I720-H720)*24)&gt;INDEX(Dim_ServiceType!$E$2:$E$16,MATCH(E720,Dim_ServiceType!$A$2:$A$16,0)),"Yes","No"))</f>
        <v>Yes</v>
      </c>
      <c r="P720" s="7" t="str">
        <f t="shared" si="47"/>
        <v>Closed</v>
      </c>
      <c r="Q720" s="6">
        <v>3</v>
      </c>
      <c r="R720" s="7" t="s">
        <v>196</v>
      </c>
    </row>
    <row r="721" spans="1:18" x14ac:dyDescent="0.35">
      <c r="A721" s="6">
        <v>720</v>
      </c>
      <c r="B721" s="7" t="s">
        <v>917</v>
      </c>
      <c r="C721" s="6">
        <v>5</v>
      </c>
      <c r="D721" s="6">
        <v>7</v>
      </c>
      <c r="E721" s="6">
        <v>2</v>
      </c>
      <c r="F721" s="6">
        <v>7</v>
      </c>
      <c r="G721" s="9">
        <v>45981.182199074101</v>
      </c>
      <c r="H721" s="9">
        <v>45981.5155324074</v>
      </c>
      <c r="I721" s="9"/>
      <c r="J721" s="9"/>
      <c r="K721" s="7" t="s">
        <v>192</v>
      </c>
      <c r="L721" s="10">
        <f t="shared" si="44"/>
        <v>7.9999999991850927</v>
      </c>
      <c r="M721" s="10" t="str">
        <f t="shared" si="45"/>
        <v/>
      </c>
      <c r="N721" s="10" t="str">
        <f t="shared" si="46"/>
        <v/>
      </c>
      <c r="O721" s="7" t="str">
        <f>IF(ISBLANK(I721),"N/A",IF(((I721-H721)*24)&gt;INDEX(Dim_ServiceType!$E$2:$E$16,MATCH(E721,Dim_ServiceType!$A$2:$A$16,0)),"Yes","No"))</f>
        <v>N/A</v>
      </c>
      <c r="P721" s="7" t="str">
        <f t="shared" si="47"/>
        <v>In Progress</v>
      </c>
      <c r="Q721" s="6"/>
      <c r="R721" s="7"/>
    </row>
    <row r="722" spans="1:18" x14ac:dyDescent="0.35">
      <c r="A722" s="6">
        <v>721</v>
      </c>
      <c r="B722" s="7" t="s">
        <v>918</v>
      </c>
      <c r="C722" s="6">
        <v>12</v>
      </c>
      <c r="D722" s="6">
        <v>2</v>
      </c>
      <c r="E722" s="6">
        <v>12</v>
      </c>
      <c r="F722" s="6">
        <v>2</v>
      </c>
      <c r="G722" s="9">
        <v>45812.245659722197</v>
      </c>
      <c r="H722" s="9">
        <v>45812.412326388898</v>
      </c>
      <c r="I722" s="9">
        <v>45813.403993055603</v>
      </c>
      <c r="J722" s="9">
        <v>45813.424826388902</v>
      </c>
      <c r="K722" s="7" t="s">
        <v>207</v>
      </c>
      <c r="L722" s="10">
        <f t="shared" si="44"/>
        <v>4.0000000008149073</v>
      </c>
      <c r="M722" s="10">
        <f t="shared" si="45"/>
        <v>23.800000000919681</v>
      </c>
      <c r="N722" s="10">
        <f t="shared" si="46"/>
        <v>28.300000000919681</v>
      </c>
      <c r="O722" s="7" t="str">
        <f>IF(ISBLANK(I722),"N/A",IF(((I722-H722)*24)&gt;INDEX(Dim_ServiceType!$E$2:$E$16,MATCH(E722,Dim_ServiceType!$A$2:$A$16,0)),"Yes","No"))</f>
        <v>No</v>
      </c>
      <c r="P722" s="7" t="str">
        <f t="shared" si="47"/>
        <v>Closed</v>
      </c>
      <c r="Q722" s="6">
        <v>1</v>
      </c>
      <c r="R722" s="7" t="s">
        <v>196</v>
      </c>
    </row>
    <row r="723" spans="1:18" x14ac:dyDescent="0.35">
      <c r="A723" s="6">
        <v>722</v>
      </c>
      <c r="B723" s="7" t="s">
        <v>919</v>
      </c>
      <c r="C723" s="6">
        <v>12</v>
      </c>
      <c r="D723" s="6">
        <v>10</v>
      </c>
      <c r="E723" s="6">
        <v>8</v>
      </c>
      <c r="F723" s="6">
        <v>14</v>
      </c>
      <c r="G723" s="9">
        <v>45707.650752314803</v>
      </c>
      <c r="H723" s="9">
        <v>45707.984085648197</v>
      </c>
      <c r="I723" s="9">
        <v>45708.184085648201</v>
      </c>
      <c r="J723" s="9">
        <v>45708.2257523148</v>
      </c>
      <c r="K723" s="7" t="s">
        <v>192</v>
      </c>
      <c r="L723" s="10">
        <f t="shared" si="44"/>
        <v>8.0000000014551915</v>
      </c>
      <c r="M723" s="10">
        <f t="shared" si="45"/>
        <v>4.8000000001047738</v>
      </c>
      <c r="N723" s="10">
        <f t="shared" si="46"/>
        <v>13.799999999930151</v>
      </c>
      <c r="O723" s="7" t="str">
        <f>IF(ISBLANK(I723),"N/A",IF(((I723-H723)*24)&gt;INDEX(Dim_ServiceType!$E$2:$E$16,MATCH(E723,Dim_ServiceType!$A$2:$A$16,0)),"Yes","No"))</f>
        <v>No</v>
      </c>
      <c r="P723" s="7" t="str">
        <f t="shared" si="47"/>
        <v>Closed</v>
      </c>
      <c r="Q723" s="6">
        <v>4</v>
      </c>
      <c r="R723" s="7" t="s">
        <v>196</v>
      </c>
    </row>
    <row r="724" spans="1:18" x14ac:dyDescent="0.35">
      <c r="A724" s="6">
        <v>723</v>
      </c>
      <c r="B724" s="7" t="s">
        <v>920</v>
      </c>
      <c r="C724" s="6">
        <v>1</v>
      </c>
      <c r="D724" s="6">
        <v>9</v>
      </c>
      <c r="E724" s="6">
        <v>8</v>
      </c>
      <c r="F724" s="6">
        <v>4</v>
      </c>
      <c r="G724" s="9">
        <v>45740.053182870397</v>
      </c>
      <c r="H724" s="9">
        <v>45740.178182870397</v>
      </c>
      <c r="I724" s="9">
        <v>45740.3531828704</v>
      </c>
      <c r="J724" s="9">
        <v>45740.394849536999</v>
      </c>
      <c r="K724" s="7" t="s">
        <v>195</v>
      </c>
      <c r="L724" s="10">
        <f t="shared" si="44"/>
        <v>3</v>
      </c>
      <c r="M724" s="10">
        <f t="shared" si="45"/>
        <v>4.2000000000698492</v>
      </c>
      <c r="N724" s="10">
        <f t="shared" si="46"/>
        <v>8.1999999984400347</v>
      </c>
      <c r="O724" s="7" t="str">
        <f>IF(ISBLANK(I724),"N/A",IF(((I724-H724)*24)&gt;INDEX(Dim_ServiceType!$E$2:$E$16,MATCH(E724,Dim_ServiceType!$A$2:$A$16,0)),"Yes","No"))</f>
        <v>No</v>
      </c>
      <c r="P724" s="7" t="str">
        <f t="shared" si="47"/>
        <v>Closed</v>
      </c>
      <c r="Q724" s="6">
        <v>4</v>
      </c>
      <c r="R724" s="7" t="s">
        <v>196</v>
      </c>
    </row>
    <row r="725" spans="1:18" x14ac:dyDescent="0.35">
      <c r="A725" s="6">
        <v>724</v>
      </c>
      <c r="B725" s="7" t="s">
        <v>921</v>
      </c>
      <c r="C725" s="6">
        <v>6</v>
      </c>
      <c r="D725" s="6">
        <v>9</v>
      </c>
      <c r="E725" s="6">
        <v>8</v>
      </c>
      <c r="F725" s="6">
        <v>2</v>
      </c>
      <c r="G725" s="9">
        <v>45824.687337962998</v>
      </c>
      <c r="H725" s="9">
        <v>45825.687337962998</v>
      </c>
      <c r="I725" s="9">
        <v>45825.920671296299</v>
      </c>
      <c r="J725" s="9">
        <v>45826.920671296299</v>
      </c>
      <c r="K725" s="7" t="s">
        <v>192</v>
      </c>
      <c r="L725" s="10">
        <f t="shared" si="44"/>
        <v>24</v>
      </c>
      <c r="M725" s="10">
        <f t="shared" si="45"/>
        <v>5.5999999992200173</v>
      </c>
      <c r="N725" s="10">
        <f t="shared" si="46"/>
        <v>53.599999999220017</v>
      </c>
      <c r="O725" s="7" t="str">
        <f>IF(ISBLANK(I725),"N/A",IF(((I725-H725)*24)&gt;INDEX(Dim_ServiceType!$E$2:$E$16,MATCH(E725,Dim_ServiceType!$A$2:$A$16,0)),"Yes","No"))</f>
        <v>No</v>
      </c>
      <c r="P725" s="7" t="str">
        <f t="shared" si="47"/>
        <v>Closed</v>
      </c>
      <c r="Q725" s="6">
        <v>4</v>
      </c>
      <c r="R725" s="7" t="s">
        <v>196</v>
      </c>
    </row>
    <row r="726" spans="1:18" x14ac:dyDescent="0.35">
      <c r="A726" s="6">
        <v>725</v>
      </c>
      <c r="B726" s="7" t="s">
        <v>922</v>
      </c>
      <c r="C726" s="6">
        <v>1</v>
      </c>
      <c r="D726" s="6">
        <v>11</v>
      </c>
      <c r="E726" s="6">
        <v>9</v>
      </c>
      <c r="F726" s="6">
        <v>6</v>
      </c>
      <c r="G726" s="9">
        <v>45748.421296296299</v>
      </c>
      <c r="H726" s="9">
        <v>45748.754629629599</v>
      </c>
      <c r="I726" s="9">
        <v>45751.004629629599</v>
      </c>
      <c r="J726" s="9">
        <v>45751.171296296299</v>
      </c>
      <c r="K726" s="7" t="s">
        <v>198</v>
      </c>
      <c r="L726" s="10">
        <f t="shared" si="44"/>
        <v>7.9999999991850927</v>
      </c>
      <c r="M726" s="10">
        <f t="shared" si="45"/>
        <v>54</v>
      </c>
      <c r="N726" s="10">
        <f t="shared" si="46"/>
        <v>66</v>
      </c>
      <c r="O726" s="7" t="str">
        <f>IF(ISBLANK(I726),"N/A",IF(((I726-H726)*24)&gt;INDEX(Dim_ServiceType!$E$2:$E$16,MATCH(E726,Dim_ServiceType!$A$2:$A$16,0)),"Yes","No"))</f>
        <v>No</v>
      </c>
      <c r="P726" s="7" t="str">
        <f t="shared" si="47"/>
        <v>Closed</v>
      </c>
      <c r="Q726" s="6">
        <v>5</v>
      </c>
      <c r="R726" s="7" t="s">
        <v>196</v>
      </c>
    </row>
    <row r="727" spans="1:18" x14ac:dyDescent="0.35">
      <c r="A727" s="6">
        <v>726</v>
      </c>
      <c r="B727" s="7" t="s">
        <v>923</v>
      </c>
      <c r="C727" s="6">
        <v>14</v>
      </c>
      <c r="D727" s="6">
        <v>14</v>
      </c>
      <c r="E727" s="6">
        <v>6</v>
      </c>
      <c r="F727" s="6">
        <v>3</v>
      </c>
      <c r="G727" s="9">
        <v>45669.630532407398</v>
      </c>
      <c r="H727" s="9">
        <v>45669.755532407398</v>
      </c>
      <c r="I727" s="9">
        <v>45670.734699074099</v>
      </c>
      <c r="J727" s="9">
        <v>45671.734699074099</v>
      </c>
      <c r="K727" s="7" t="s">
        <v>195</v>
      </c>
      <c r="L727" s="10">
        <f t="shared" si="44"/>
        <v>3</v>
      </c>
      <c r="M727" s="10">
        <f t="shared" si="45"/>
        <v>23.500000000814907</v>
      </c>
      <c r="N727" s="10">
        <f t="shared" si="46"/>
        <v>50.500000000814907</v>
      </c>
      <c r="O727" s="7" t="str">
        <f>IF(ISBLANK(I727),"N/A",IF(((I727-H727)*24)&gt;INDEX(Dim_ServiceType!$E$2:$E$16,MATCH(E727,Dim_ServiceType!$A$2:$A$16,0)),"Yes","No"))</f>
        <v>No</v>
      </c>
      <c r="P727" s="7" t="str">
        <f t="shared" si="47"/>
        <v>Closed</v>
      </c>
      <c r="Q727" s="6">
        <v>4</v>
      </c>
      <c r="R727" s="7" t="s">
        <v>196</v>
      </c>
    </row>
    <row r="728" spans="1:18" x14ac:dyDescent="0.35">
      <c r="A728" s="6">
        <v>727</v>
      </c>
      <c r="B728" s="7" t="s">
        <v>924</v>
      </c>
      <c r="C728" s="6">
        <v>8</v>
      </c>
      <c r="D728" s="6">
        <v>15</v>
      </c>
      <c r="E728" s="6">
        <v>7</v>
      </c>
      <c r="F728" s="6">
        <v>4</v>
      </c>
      <c r="G728" s="9">
        <v>45749.8433449074</v>
      </c>
      <c r="H728" s="9">
        <v>45750.8433449074</v>
      </c>
      <c r="I728" s="9">
        <v>45751.7183449074</v>
      </c>
      <c r="J728" s="9">
        <v>45751.760011574101</v>
      </c>
      <c r="K728" s="7" t="s">
        <v>195</v>
      </c>
      <c r="L728" s="10">
        <f t="shared" si="44"/>
        <v>24</v>
      </c>
      <c r="M728" s="10">
        <f t="shared" si="45"/>
        <v>21</v>
      </c>
      <c r="N728" s="10">
        <f t="shared" si="46"/>
        <v>46.000000000814907</v>
      </c>
      <c r="O728" s="7" t="str">
        <f>IF(ISBLANK(I728),"N/A",IF(((I728-H728)*24)&gt;INDEX(Dim_ServiceType!$E$2:$E$16,MATCH(E728,Dim_ServiceType!$A$2:$A$16,0)),"Yes","No"))</f>
        <v>No</v>
      </c>
      <c r="P728" s="7" t="str">
        <f t="shared" si="47"/>
        <v>Closed</v>
      </c>
      <c r="Q728" s="6">
        <v>4</v>
      </c>
      <c r="R728" s="7" t="s">
        <v>196</v>
      </c>
    </row>
    <row r="729" spans="1:18" x14ac:dyDescent="0.35">
      <c r="A729" s="6">
        <v>728</v>
      </c>
      <c r="B729" s="7" t="s">
        <v>925</v>
      </c>
      <c r="C729" s="6">
        <v>7</v>
      </c>
      <c r="D729" s="6">
        <v>10</v>
      </c>
      <c r="E729" s="6">
        <v>5</v>
      </c>
      <c r="F729" s="6">
        <v>6</v>
      </c>
      <c r="G729" s="9">
        <v>45863.990034722199</v>
      </c>
      <c r="H729" s="9">
        <v>45864.1567013889</v>
      </c>
      <c r="I729" s="9"/>
      <c r="J729" s="9"/>
      <c r="K729" s="7" t="s">
        <v>207</v>
      </c>
      <c r="L729" s="10">
        <f t="shared" si="44"/>
        <v>4.0000000008149073</v>
      </c>
      <c r="M729" s="10" t="str">
        <f t="shared" si="45"/>
        <v/>
      </c>
      <c r="N729" s="10" t="str">
        <f t="shared" si="46"/>
        <v/>
      </c>
      <c r="O729" s="7" t="str">
        <f>IF(ISBLANK(I729),"N/A",IF(((I729-H729)*24)&gt;INDEX(Dim_ServiceType!$E$2:$E$16,MATCH(E729,Dim_ServiceType!$A$2:$A$16,0)),"Yes","No"))</f>
        <v>N/A</v>
      </c>
      <c r="P729" s="7" t="str">
        <f t="shared" si="47"/>
        <v>In Progress</v>
      </c>
      <c r="Q729" s="6"/>
      <c r="R729" s="7"/>
    </row>
    <row r="730" spans="1:18" x14ac:dyDescent="0.35">
      <c r="A730" s="6">
        <v>729</v>
      </c>
      <c r="B730" s="7" t="s">
        <v>926</v>
      </c>
      <c r="C730" s="6">
        <v>6</v>
      </c>
      <c r="D730" s="6">
        <v>2</v>
      </c>
      <c r="E730" s="6">
        <v>6</v>
      </c>
      <c r="F730" s="6">
        <v>14</v>
      </c>
      <c r="G730" s="9">
        <v>45744.410624999997</v>
      </c>
      <c r="H730" s="9">
        <v>45744.535624999997</v>
      </c>
      <c r="I730" s="9">
        <v>45745.6897916667</v>
      </c>
      <c r="J730" s="9">
        <v>45745.9397916667</v>
      </c>
      <c r="K730" s="7" t="s">
        <v>200</v>
      </c>
      <c r="L730" s="10">
        <f t="shared" si="44"/>
        <v>3</v>
      </c>
      <c r="M730" s="10">
        <f t="shared" si="45"/>
        <v>27.700000000884756</v>
      </c>
      <c r="N730" s="10">
        <f t="shared" si="46"/>
        <v>36.700000000884756</v>
      </c>
      <c r="O730" s="7" t="str">
        <f>IF(ISBLANK(I730),"N/A",IF(((I730-H730)*24)&gt;INDEX(Dim_ServiceType!$E$2:$E$16,MATCH(E730,Dim_ServiceType!$A$2:$A$16,0)),"Yes","No"))</f>
        <v>No</v>
      </c>
      <c r="P730" s="7" t="str">
        <f t="shared" si="47"/>
        <v>Closed</v>
      </c>
      <c r="Q730" s="6">
        <v>1</v>
      </c>
      <c r="R730" s="7" t="s">
        <v>196</v>
      </c>
    </row>
    <row r="731" spans="1:18" x14ac:dyDescent="0.35">
      <c r="A731" s="6">
        <v>730</v>
      </c>
      <c r="B731" s="7" t="s">
        <v>927</v>
      </c>
      <c r="C731" s="6">
        <v>15</v>
      </c>
      <c r="D731" s="6">
        <v>9</v>
      </c>
      <c r="E731" s="6">
        <v>5</v>
      </c>
      <c r="F731" s="6">
        <v>11</v>
      </c>
      <c r="G731" s="9">
        <v>45902.663067129601</v>
      </c>
      <c r="H731" s="9">
        <v>45902.746400463002</v>
      </c>
      <c r="I731" s="9">
        <v>45904.050567129598</v>
      </c>
      <c r="J731" s="9">
        <v>45904.300567129598</v>
      </c>
      <c r="K731" s="7" t="s">
        <v>195</v>
      </c>
      <c r="L731" s="10">
        <f t="shared" si="44"/>
        <v>2.0000000016298145</v>
      </c>
      <c r="M731" s="10">
        <f t="shared" si="45"/>
        <v>31.299999998300336</v>
      </c>
      <c r="N731" s="10">
        <f t="shared" si="46"/>
        <v>39.299999999930151</v>
      </c>
      <c r="O731" s="7" t="str">
        <f>IF(ISBLANK(I731),"N/A",IF(((I731-H731)*24)&gt;INDEX(Dim_ServiceType!$E$2:$E$16,MATCH(E731,Dim_ServiceType!$A$2:$A$16,0)),"Yes","No"))</f>
        <v>Yes</v>
      </c>
      <c r="P731" s="7" t="str">
        <f t="shared" si="47"/>
        <v>Closed</v>
      </c>
      <c r="Q731" s="6">
        <v>5</v>
      </c>
      <c r="R731" s="7" t="s">
        <v>196</v>
      </c>
    </row>
    <row r="732" spans="1:18" x14ac:dyDescent="0.35">
      <c r="A732" s="6">
        <v>731</v>
      </c>
      <c r="B732" s="7" t="s">
        <v>928</v>
      </c>
      <c r="C732" s="6">
        <v>10</v>
      </c>
      <c r="D732" s="6">
        <v>3</v>
      </c>
      <c r="E732" s="6">
        <v>1</v>
      </c>
      <c r="F732" s="6">
        <v>5</v>
      </c>
      <c r="G732" s="9">
        <v>45823.193356481497</v>
      </c>
      <c r="H732" s="9">
        <v>45823.214189814797</v>
      </c>
      <c r="I732" s="9">
        <v>45823.380856481497</v>
      </c>
      <c r="J732" s="9">
        <v>45823.880856481497</v>
      </c>
      <c r="K732" s="7" t="s">
        <v>192</v>
      </c>
      <c r="L732" s="10">
        <f t="shared" si="44"/>
        <v>0.49999999918509275</v>
      </c>
      <c r="M732" s="10">
        <f t="shared" si="45"/>
        <v>4.0000000008149073</v>
      </c>
      <c r="N732" s="10">
        <f t="shared" si="46"/>
        <v>16.5</v>
      </c>
      <c r="O732" s="7" t="str">
        <f>IF(ISBLANK(I732),"N/A",IF(((I732-H732)*24)&gt;INDEX(Dim_ServiceType!$E$2:$E$16,MATCH(E732,Dim_ServiceType!$A$2:$A$16,0)),"Yes","No"))</f>
        <v>Yes</v>
      </c>
      <c r="P732" s="7" t="str">
        <f t="shared" si="47"/>
        <v>Closed</v>
      </c>
      <c r="Q732" s="6">
        <v>4</v>
      </c>
      <c r="R732" s="7" t="s">
        <v>196</v>
      </c>
    </row>
    <row r="733" spans="1:18" x14ac:dyDescent="0.35">
      <c r="A733" s="6">
        <v>732</v>
      </c>
      <c r="B733" s="7" t="s">
        <v>929</v>
      </c>
      <c r="C733" s="6">
        <v>14</v>
      </c>
      <c r="D733" s="6">
        <v>6</v>
      </c>
      <c r="E733" s="6">
        <v>15</v>
      </c>
      <c r="F733" s="6">
        <v>5</v>
      </c>
      <c r="G733" s="9">
        <v>45704.482835648101</v>
      </c>
      <c r="H733" s="9">
        <v>45704.982835648101</v>
      </c>
      <c r="I733" s="9">
        <v>45706.049502314803</v>
      </c>
      <c r="J733" s="9">
        <v>45707.049502314803</v>
      </c>
      <c r="K733" s="7" t="s">
        <v>198</v>
      </c>
      <c r="L733" s="10">
        <f t="shared" si="44"/>
        <v>12</v>
      </c>
      <c r="M733" s="10">
        <f t="shared" si="45"/>
        <v>25.600000000849832</v>
      </c>
      <c r="N733" s="10">
        <f t="shared" si="46"/>
        <v>61.600000000849832</v>
      </c>
      <c r="O733" s="7" t="str">
        <f>IF(ISBLANK(I733),"N/A",IF(((I733-H733)*24)&gt;INDEX(Dim_ServiceType!$E$2:$E$16,MATCH(E733,Dim_ServiceType!$A$2:$A$16,0)),"Yes","No"))</f>
        <v>Yes</v>
      </c>
      <c r="P733" s="7" t="str">
        <f t="shared" si="47"/>
        <v>Closed</v>
      </c>
      <c r="Q733" s="6">
        <v>2</v>
      </c>
      <c r="R733" s="7" t="s">
        <v>196</v>
      </c>
    </row>
    <row r="734" spans="1:18" x14ac:dyDescent="0.35">
      <c r="A734" s="6">
        <v>733</v>
      </c>
      <c r="B734" s="7" t="s">
        <v>930</v>
      </c>
      <c r="C734" s="6">
        <v>14</v>
      </c>
      <c r="D734" s="6">
        <v>11</v>
      </c>
      <c r="E734" s="6">
        <v>8</v>
      </c>
      <c r="F734" s="6">
        <v>5</v>
      </c>
      <c r="G734" s="9">
        <v>45801.845150462999</v>
      </c>
      <c r="H734" s="9">
        <v>45802.178483796299</v>
      </c>
      <c r="I734" s="9">
        <v>45802.445150462998</v>
      </c>
      <c r="J734" s="9">
        <v>45802.695150462998</v>
      </c>
      <c r="K734" s="7" t="s">
        <v>192</v>
      </c>
      <c r="L734" s="10">
        <f t="shared" si="44"/>
        <v>7.9999999991850927</v>
      </c>
      <c r="M734" s="10">
        <f t="shared" si="45"/>
        <v>6.4000000007799827</v>
      </c>
      <c r="N734" s="10">
        <f t="shared" si="46"/>
        <v>20.399999999965075</v>
      </c>
      <c r="O734" s="7" t="str">
        <f>IF(ISBLANK(I734),"N/A",IF(((I734-H734)*24)&gt;INDEX(Dim_ServiceType!$E$2:$E$16,MATCH(E734,Dim_ServiceType!$A$2:$A$16,0)),"Yes","No"))</f>
        <v>Yes</v>
      </c>
      <c r="P734" s="7" t="str">
        <f t="shared" si="47"/>
        <v>Closed</v>
      </c>
      <c r="Q734" s="6">
        <v>5</v>
      </c>
      <c r="R734" s="7" t="s">
        <v>196</v>
      </c>
    </row>
    <row r="735" spans="1:18" x14ac:dyDescent="0.35">
      <c r="A735" s="6">
        <v>734</v>
      </c>
      <c r="B735" s="7" t="s">
        <v>931</v>
      </c>
      <c r="C735" s="6">
        <v>13</v>
      </c>
      <c r="D735" s="6">
        <v>13</v>
      </c>
      <c r="E735" s="6">
        <v>13</v>
      </c>
      <c r="F735" s="6">
        <v>7</v>
      </c>
      <c r="G735" s="9">
        <v>45799.8676388889</v>
      </c>
      <c r="H735" s="9">
        <v>45799.9926388889</v>
      </c>
      <c r="I735" s="9">
        <v>45801.209305555603</v>
      </c>
      <c r="J735" s="9">
        <v>45801.292638888903</v>
      </c>
      <c r="K735" s="7" t="s">
        <v>195</v>
      </c>
      <c r="L735" s="10">
        <f t="shared" si="44"/>
        <v>3</v>
      </c>
      <c r="M735" s="10">
        <f t="shared" si="45"/>
        <v>29.200000000884756</v>
      </c>
      <c r="N735" s="10">
        <f t="shared" si="46"/>
        <v>34.200000000069849</v>
      </c>
      <c r="O735" s="7" t="str">
        <f>IF(ISBLANK(I735),"N/A",IF(((I735-H735)*24)&gt;INDEX(Dim_ServiceType!$E$2:$E$16,MATCH(E735,Dim_ServiceType!$A$2:$A$16,0)),"Yes","No"))</f>
        <v>Yes</v>
      </c>
      <c r="P735" s="7" t="str">
        <f t="shared" si="47"/>
        <v>Closed</v>
      </c>
      <c r="Q735" s="6">
        <v>3</v>
      </c>
      <c r="R735" s="7" t="s">
        <v>196</v>
      </c>
    </row>
    <row r="736" spans="1:18" x14ac:dyDescent="0.35">
      <c r="A736" s="6">
        <v>735</v>
      </c>
      <c r="B736" s="7" t="s">
        <v>932</v>
      </c>
      <c r="C736" s="6">
        <v>4</v>
      </c>
      <c r="D736" s="6">
        <v>1</v>
      </c>
      <c r="E736" s="6">
        <v>6</v>
      </c>
      <c r="F736" s="6">
        <v>5</v>
      </c>
      <c r="G736" s="9">
        <v>45727.761759259301</v>
      </c>
      <c r="H736" s="9">
        <v>45728.011759259301</v>
      </c>
      <c r="I736" s="9">
        <v>45730.078425925902</v>
      </c>
      <c r="J736" s="9">
        <v>45730.120092592602</v>
      </c>
      <c r="K736" s="7" t="s">
        <v>207</v>
      </c>
      <c r="L736" s="10">
        <f t="shared" si="44"/>
        <v>6</v>
      </c>
      <c r="M736" s="10">
        <f t="shared" si="45"/>
        <v>49.59999999840511</v>
      </c>
      <c r="N736" s="10">
        <f t="shared" si="46"/>
        <v>56.599999999220017</v>
      </c>
      <c r="O736" s="7" t="str">
        <f>IF(ISBLANK(I736),"N/A",IF(((I736-H736)*24)&gt;INDEX(Dim_ServiceType!$E$2:$E$16,MATCH(E736,Dim_ServiceType!$A$2:$A$16,0)),"Yes","No"))</f>
        <v>Yes</v>
      </c>
      <c r="P736" s="7" t="str">
        <f t="shared" si="47"/>
        <v>Closed</v>
      </c>
      <c r="Q736" s="6">
        <v>4</v>
      </c>
      <c r="R736" s="7" t="s">
        <v>196</v>
      </c>
    </row>
    <row r="737" spans="1:18" x14ac:dyDescent="0.35">
      <c r="A737" s="6">
        <v>736</v>
      </c>
      <c r="B737" s="7" t="s">
        <v>933</v>
      </c>
      <c r="C737" s="6">
        <v>8</v>
      </c>
      <c r="D737" s="6">
        <v>6</v>
      </c>
      <c r="E737" s="6">
        <v>1</v>
      </c>
      <c r="F737" s="6">
        <v>4</v>
      </c>
      <c r="G737" s="9">
        <v>45849.439687500002</v>
      </c>
      <c r="H737" s="9">
        <v>45849.460520833301</v>
      </c>
      <c r="I737" s="9">
        <v>45849.652187500003</v>
      </c>
      <c r="J737" s="9">
        <v>45850.652187500003</v>
      </c>
      <c r="K737" s="7" t="s">
        <v>192</v>
      </c>
      <c r="L737" s="10">
        <f t="shared" si="44"/>
        <v>0.49999999918509275</v>
      </c>
      <c r="M737" s="10">
        <f t="shared" si="45"/>
        <v>4.6000000008498318</v>
      </c>
      <c r="N737" s="10">
        <f t="shared" si="46"/>
        <v>29.100000000034925</v>
      </c>
      <c r="O737" s="7" t="str">
        <f>IF(ISBLANK(I737),"N/A",IF(((I737-H737)*24)&gt;INDEX(Dim_ServiceType!$E$2:$E$16,MATCH(E737,Dim_ServiceType!$A$2:$A$16,0)),"Yes","No"))</f>
        <v>Yes</v>
      </c>
      <c r="P737" s="7" t="str">
        <f t="shared" si="47"/>
        <v>Closed</v>
      </c>
      <c r="Q737" s="6">
        <v>2</v>
      </c>
      <c r="R737" s="7" t="s">
        <v>196</v>
      </c>
    </row>
    <row r="738" spans="1:18" x14ac:dyDescent="0.35">
      <c r="A738" s="6">
        <v>737</v>
      </c>
      <c r="B738" s="7" t="s">
        <v>934</v>
      </c>
      <c r="C738" s="6">
        <v>3</v>
      </c>
      <c r="D738" s="6">
        <v>1</v>
      </c>
      <c r="E738" s="6">
        <v>15</v>
      </c>
      <c r="F738" s="6">
        <v>1</v>
      </c>
      <c r="G738" s="9">
        <v>45695.263587963003</v>
      </c>
      <c r="H738" s="9">
        <v>45695.430254629602</v>
      </c>
      <c r="I738" s="9">
        <v>45696.309421296297</v>
      </c>
      <c r="J738" s="9">
        <v>45696.809421296297</v>
      </c>
      <c r="K738" s="7" t="s">
        <v>192</v>
      </c>
      <c r="L738" s="10">
        <f t="shared" si="44"/>
        <v>3.9999999983701855</v>
      </c>
      <c r="M738" s="10">
        <f t="shared" si="45"/>
        <v>21.100000000675209</v>
      </c>
      <c r="N738" s="10">
        <f t="shared" si="46"/>
        <v>37.099999999045394</v>
      </c>
      <c r="O738" s="7" t="str">
        <f>IF(ISBLANK(I738),"N/A",IF(((I738-H738)*24)&gt;INDEX(Dim_ServiceType!$E$2:$E$16,MATCH(E738,Dim_ServiceType!$A$2:$A$16,0)),"Yes","No"))</f>
        <v>No</v>
      </c>
      <c r="P738" s="7" t="str">
        <f t="shared" si="47"/>
        <v>Closed</v>
      </c>
      <c r="Q738" s="6">
        <v>3</v>
      </c>
      <c r="R738" s="7" t="s">
        <v>196</v>
      </c>
    </row>
    <row r="739" spans="1:18" x14ac:dyDescent="0.35">
      <c r="A739" s="6">
        <v>738</v>
      </c>
      <c r="B739" s="7" t="s">
        <v>935</v>
      </c>
      <c r="C739" s="6">
        <v>8</v>
      </c>
      <c r="D739" s="6">
        <v>3</v>
      </c>
      <c r="E739" s="6">
        <v>12</v>
      </c>
      <c r="F739" s="6">
        <v>12</v>
      </c>
      <c r="G739" s="9">
        <v>45886.455000000002</v>
      </c>
      <c r="H739" s="9">
        <v>45886.621666666702</v>
      </c>
      <c r="I739" s="9">
        <v>45887.78</v>
      </c>
      <c r="J739" s="9">
        <v>45888.03</v>
      </c>
      <c r="K739" s="7" t="s">
        <v>192</v>
      </c>
      <c r="L739" s="10">
        <f t="shared" si="44"/>
        <v>4.0000000008149073</v>
      </c>
      <c r="M739" s="10">
        <f t="shared" si="45"/>
        <v>27.799999999115244</v>
      </c>
      <c r="N739" s="10">
        <f t="shared" si="46"/>
        <v>37.799999999930151</v>
      </c>
      <c r="O739" s="7" t="str">
        <f>IF(ISBLANK(I739),"N/A",IF(((I739-H739)*24)&gt;INDEX(Dim_ServiceType!$E$2:$E$16,MATCH(E739,Dim_ServiceType!$A$2:$A$16,0)),"Yes","No"))</f>
        <v>Yes</v>
      </c>
      <c r="P739" s="7" t="str">
        <f t="shared" si="47"/>
        <v>Closed</v>
      </c>
      <c r="Q739" s="6">
        <v>3</v>
      </c>
      <c r="R739" s="7" t="s">
        <v>196</v>
      </c>
    </row>
    <row r="740" spans="1:18" x14ac:dyDescent="0.35">
      <c r="A740" s="6">
        <v>739</v>
      </c>
      <c r="B740" s="7" t="s">
        <v>936</v>
      </c>
      <c r="C740" s="6">
        <v>15</v>
      </c>
      <c r="D740" s="6">
        <v>2</v>
      </c>
      <c r="E740" s="6">
        <v>2</v>
      </c>
      <c r="F740" s="6">
        <v>14</v>
      </c>
      <c r="G740" s="9">
        <v>45697.701423611099</v>
      </c>
      <c r="H740" s="9">
        <v>45697.8680902778</v>
      </c>
      <c r="I740" s="9">
        <v>45697.972256944398</v>
      </c>
      <c r="J740" s="9">
        <v>45698.972256944398</v>
      </c>
      <c r="K740" s="7" t="s">
        <v>192</v>
      </c>
      <c r="L740" s="10">
        <f t="shared" si="44"/>
        <v>4.0000000008149073</v>
      </c>
      <c r="M740" s="10">
        <f t="shared" si="45"/>
        <v>2.4999999983701855</v>
      </c>
      <c r="N740" s="10">
        <f t="shared" si="46"/>
        <v>30.499999999185093</v>
      </c>
      <c r="O740" s="7" t="str">
        <f>IF(ISBLANK(I740),"N/A",IF(((I740-H740)*24)&gt;INDEX(Dim_ServiceType!$E$2:$E$16,MATCH(E740,Dim_ServiceType!$A$2:$A$16,0)),"Yes","No"))</f>
        <v>No</v>
      </c>
      <c r="P740" s="7" t="str">
        <f t="shared" si="47"/>
        <v>Closed</v>
      </c>
      <c r="Q740" s="6">
        <v>3</v>
      </c>
      <c r="R740" s="7" t="s">
        <v>193</v>
      </c>
    </row>
    <row r="741" spans="1:18" x14ac:dyDescent="0.35">
      <c r="A741" s="6">
        <v>740</v>
      </c>
      <c r="B741" s="7" t="s">
        <v>937</v>
      </c>
      <c r="C741" s="6">
        <v>14</v>
      </c>
      <c r="D741" s="6">
        <v>9</v>
      </c>
      <c r="E741" s="6">
        <v>6</v>
      </c>
      <c r="F741" s="6">
        <v>14</v>
      </c>
      <c r="G741" s="9">
        <v>45942.2403009259</v>
      </c>
      <c r="H741" s="9">
        <v>45942.2819675926</v>
      </c>
      <c r="I741" s="9">
        <v>45943.194467592599</v>
      </c>
      <c r="J741" s="9">
        <v>45944.194467592599</v>
      </c>
      <c r="K741" s="7" t="s">
        <v>198</v>
      </c>
      <c r="L741" s="10">
        <f t="shared" si="44"/>
        <v>1.0000000008149073</v>
      </c>
      <c r="M741" s="10">
        <f t="shared" si="45"/>
        <v>21.899999999965075</v>
      </c>
      <c r="N741" s="10">
        <f t="shared" si="46"/>
        <v>46.900000000779983</v>
      </c>
      <c r="O741" s="7" t="str">
        <f>IF(ISBLANK(I741),"N/A",IF(((I741-H741)*24)&gt;INDEX(Dim_ServiceType!$E$2:$E$16,MATCH(E741,Dim_ServiceType!$A$2:$A$16,0)),"Yes","No"))</f>
        <v>No</v>
      </c>
      <c r="P741" s="7" t="str">
        <f t="shared" si="47"/>
        <v>Closed</v>
      </c>
      <c r="Q741" s="6">
        <v>5</v>
      </c>
      <c r="R741" s="7" t="s">
        <v>196</v>
      </c>
    </row>
    <row r="742" spans="1:18" x14ac:dyDescent="0.35">
      <c r="A742" s="6">
        <v>741</v>
      </c>
      <c r="B742" s="7" t="s">
        <v>938</v>
      </c>
      <c r="C742" s="6">
        <v>5</v>
      </c>
      <c r="D742" s="6">
        <v>12</v>
      </c>
      <c r="E742" s="6">
        <v>10</v>
      </c>
      <c r="F742" s="6">
        <v>15</v>
      </c>
      <c r="G742" s="9">
        <v>45826.246157407397</v>
      </c>
      <c r="H742" s="9">
        <v>45826.579490740703</v>
      </c>
      <c r="I742" s="9">
        <v>45826.804490740702</v>
      </c>
      <c r="J742" s="9">
        <v>45826.887824074103</v>
      </c>
      <c r="K742" s="7" t="s">
        <v>198</v>
      </c>
      <c r="L742" s="10">
        <f t="shared" si="44"/>
        <v>7.9999999993597157</v>
      </c>
      <c r="M742" s="10">
        <f t="shared" si="45"/>
        <v>5.3999999999650754</v>
      </c>
      <c r="N742" s="10">
        <f t="shared" si="46"/>
        <v>15.400000000954606</v>
      </c>
      <c r="O742" s="7" t="str">
        <f>IF(ISBLANK(I742),"N/A",IF(((I742-H742)*24)&gt;INDEX(Dim_ServiceType!$E$2:$E$16,MATCH(E742,Dim_ServiceType!$A$2:$A$16,0)),"Yes","No"))</f>
        <v>No</v>
      </c>
      <c r="P742" s="7" t="str">
        <f t="shared" si="47"/>
        <v>Closed</v>
      </c>
      <c r="Q742" s="6">
        <v>2</v>
      </c>
      <c r="R742" s="7" t="s">
        <v>196</v>
      </c>
    </row>
    <row r="743" spans="1:18" x14ac:dyDescent="0.35">
      <c r="A743" s="6">
        <v>742</v>
      </c>
      <c r="B743" s="7" t="s">
        <v>939</v>
      </c>
      <c r="C743" s="6">
        <v>4</v>
      </c>
      <c r="D743" s="6">
        <v>13</v>
      </c>
      <c r="E743" s="6">
        <v>13</v>
      </c>
      <c r="F743" s="6">
        <v>7</v>
      </c>
      <c r="G743" s="9">
        <v>45946.185150463003</v>
      </c>
      <c r="H743" s="9">
        <v>45946.685150463003</v>
      </c>
      <c r="I743" s="9">
        <v>45947.589317129597</v>
      </c>
      <c r="J743" s="9">
        <v>45947.839317129597</v>
      </c>
      <c r="K743" s="7" t="s">
        <v>195</v>
      </c>
      <c r="L743" s="10">
        <f t="shared" si="44"/>
        <v>12</v>
      </c>
      <c r="M743" s="10">
        <f t="shared" si="45"/>
        <v>21.699999998265412</v>
      </c>
      <c r="N743" s="10">
        <f t="shared" si="46"/>
        <v>39.699999998265412</v>
      </c>
      <c r="O743" s="7" t="str">
        <f>IF(ISBLANK(I743),"N/A",IF(((I743-H743)*24)&gt;INDEX(Dim_ServiceType!$E$2:$E$16,MATCH(E743,Dim_ServiceType!$A$2:$A$16,0)),"Yes","No"))</f>
        <v>No</v>
      </c>
      <c r="P743" s="7" t="str">
        <f t="shared" si="47"/>
        <v>Closed</v>
      </c>
      <c r="Q743" s="6">
        <v>4</v>
      </c>
      <c r="R743" s="7" t="s">
        <v>196</v>
      </c>
    </row>
    <row r="744" spans="1:18" x14ac:dyDescent="0.35">
      <c r="A744" s="6">
        <v>743</v>
      </c>
      <c r="B744" s="7" t="s">
        <v>940</v>
      </c>
      <c r="C744" s="6">
        <v>12</v>
      </c>
      <c r="D744" s="6">
        <v>2</v>
      </c>
      <c r="E744" s="6">
        <v>1</v>
      </c>
      <c r="F744" s="6">
        <v>10</v>
      </c>
      <c r="G744" s="9">
        <v>45866.213217592602</v>
      </c>
      <c r="H744" s="9">
        <v>45866.379884259302</v>
      </c>
      <c r="I744" s="9">
        <v>45866.463217592602</v>
      </c>
      <c r="J744" s="9">
        <v>45866.504884259302</v>
      </c>
      <c r="K744" s="7" t="s">
        <v>198</v>
      </c>
      <c r="L744" s="10">
        <f t="shared" si="44"/>
        <v>4.0000000008149073</v>
      </c>
      <c r="M744" s="10">
        <f t="shared" si="45"/>
        <v>1.9999999991850927</v>
      </c>
      <c r="N744" s="10">
        <f t="shared" si="46"/>
        <v>7.0000000008149073</v>
      </c>
      <c r="O744" s="7" t="str">
        <f>IF(ISBLANK(I744),"N/A",IF(((I744-H744)*24)&gt;INDEX(Dim_ServiceType!$E$2:$E$16,MATCH(E744,Dim_ServiceType!$A$2:$A$16,0)),"Yes","No"))</f>
        <v>No</v>
      </c>
      <c r="P744" s="7" t="str">
        <f t="shared" si="47"/>
        <v>Closed</v>
      </c>
      <c r="Q744" s="6">
        <v>4</v>
      </c>
      <c r="R744" s="7" t="s">
        <v>196</v>
      </c>
    </row>
    <row r="745" spans="1:18" x14ac:dyDescent="0.35">
      <c r="A745" s="6">
        <v>744</v>
      </c>
      <c r="B745" s="7" t="s">
        <v>941</v>
      </c>
      <c r="C745" s="6">
        <v>2</v>
      </c>
      <c r="D745" s="6">
        <v>6</v>
      </c>
      <c r="E745" s="6">
        <v>15</v>
      </c>
      <c r="F745" s="6">
        <v>2</v>
      </c>
      <c r="G745" s="9">
        <v>45815.0385185185</v>
      </c>
      <c r="H745" s="9">
        <v>45815.205185185201</v>
      </c>
      <c r="I745" s="9">
        <v>45815.559351851902</v>
      </c>
      <c r="J745" s="9">
        <v>45815.809351851902</v>
      </c>
      <c r="K745" s="7" t="s">
        <v>195</v>
      </c>
      <c r="L745" s="10">
        <f t="shared" si="44"/>
        <v>4.0000000008149073</v>
      </c>
      <c r="M745" s="10">
        <f t="shared" si="45"/>
        <v>8.5000000008149073</v>
      </c>
      <c r="N745" s="10">
        <f t="shared" si="46"/>
        <v>18.500000001629815</v>
      </c>
      <c r="O745" s="7" t="str">
        <f>IF(ISBLANK(I745),"N/A",IF(((I745-H745)*24)&gt;INDEX(Dim_ServiceType!$E$2:$E$16,MATCH(E745,Dim_ServiceType!$A$2:$A$16,0)),"Yes","No"))</f>
        <v>No</v>
      </c>
      <c r="P745" s="7" t="str">
        <f t="shared" si="47"/>
        <v>Closed</v>
      </c>
      <c r="Q745" s="6">
        <v>5</v>
      </c>
      <c r="R745" s="7" t="s">
        <v>196</v>
      </c>
    </row>
    <row r="746" spans="1:18" x14ac:dyDescent="0.35">
      <c r="A746" s="6">
        <v>745</v>
      </c>
      <c r="B746" s="7" t="s">
        <v>942</v>
      </c>
      <c r="C746" s="6">
        <v>3</v>
      </c>
      <c r="D746" s="6">
        <v>8</v>
      </c>
      <c r="E746" s="6">
        <v>15</v>
      </c>
      <c r="F746" s="6">
        <v>11</v>
      </c>
      <c r="G746" s="9">
        <v>45796.162824074097</v>
      </c>
      <c r="H746" s="9">
        <v>45796.662824074097</v>
      </c>
      <c r="I746" s="9">
        <v>45797.754490740699</v>
      </c>
      <c r="J746" s="9">
        <v>45798.004490740699</v>
      </c>
      <c r="K746" s="7" t="s">
        <v>195</v>
      </c>
      <c r="L746" s="10">
        <f t="shared" si="44"/>
        <v>12</v>
      </c>
      <c r="M746" s="10">
        <f t="shared" si="45"/>
        <v>26.199999998440035</v>
      </c>
      <c r="N746" s="10">
        <f t="shared" si="46"/>
        <v>44.199999998440035</v>
      </c>
      <c r="O746" s="7" t="str">
        <f>IF(ISBLANK(I746),"N/A",IF(((I746-H746)*24)&gt;INDEX(Dim_ServiceType!$E$2:$E$16,MATCH(E746,Dim_ServiceType!$A$2:$A$16,0)),"Yes","No"))</f>
        <v>Yes</v>
      </c>
      <c r="P746" s="7" t="str">
        <f t="shared" si="47"/>
        <v>Closed</v>
      </c>
      <c r="Q746" s="6">
        <v>4</v>
      </c>
      <c r="R746" s="7" t="s">
        <v>196</v>
      </c>
    </row>
    <row r="747" spans="1:18" x14ac:dyDescent="0.35">
      <c r="A747" s="6">
        <v>746</v>
      </c>
      <c r="B747" s="7" t="s">
        <v>943</v>
      </c>
      <c r="C747" s="6">
        <v>1</v>
      </c>
      <c r="D747" s="6">
        <v>8</v>
      </c>
      <c r="E747" s="6">
        <v>10</v>
      </c>
      <c r="F747" s="6">
        <v>1</v>
      </c>
      <c r="G747" s="9">
        <v>45976.953379629602</v>
      </c>
      <c r="H747" s="9">
        <v>45977.078379629602</v>
      </c>
      <c r="I747" s="9">
        <v>45977.361712963</v>
      </c>
      <c r="J747" s="9">
        <v>45977.611712963</v>
      </c>
      <c r="K747" s="7" t="s">
        <v>195</v>
      </c>
      <c r="L747" s="10">
        <f t="shared" si="44"/>
        <v>3</v>
      </c>
      <c r="M747" s="10">
        <f t="shared" si="45"/>
        <v>6.8000000015599653</v>
      </c>
      <c r="N747" s="10">
        <f t="shared" si="46"/>
        <v>15.800000001559965</v>
      </c>
      <c r="O747" s="7" t="str">
        <f>IF(ISBLANK(I747),"N/A",IF(((I747-H747)*24)&gt;INDEX(Dim_ServiceType!$E$2:$E$16,MATCH(E747,Dim_ServiceType!$A$2:$A$16,0)),"Yes","No"))</f>
        <v>Yes</v>
      </c>
      <c r="P747" s="7" t="str">
        <f t="shared" si="47"/>
        <v>Closed</v>
      </c>
      <c r="Q747" s="6">
        <v>1</v>
      </c>
      <c r="R747" s="7" t="s">
        <v>196</v>
      </c>
    </row>
    <row r="748" spans="1:18" x14ac:dyDescent="0.35">
      <c r="A748" s="6">
        <v>747</v>
      </c>
      <c r="B748" s="7" t="s">
        <v>944</v>
      </c>
      <c r="C748" s="6">
        <v>10</v>
      </c>
      <c r="D748" s="6">
        <v>2</v>
      </c>
      <c r="E748" s="6">
        <v>4</v>
      </c>
      <c r="F748" s="6">
        <v>13</v>
      </c>
      <c r="G748" s="9">
        <v>45778.823912036998</v>
      </c>
      <c r="H748" s="9">
        <v>45779.073912036998</v>
      </c>
      <c r="I748" s="9">
        <v>45779.553078703699</v>
      </c>
      <c r="J748" s="9">
        <v>45779.803078703699</v>
      </c>
      <c r="K748" s="7" t="s">
        <v>195</v>
      </c>
      <c r="L748" s="10">
        <f t="shared" si="44"/>
        <v>6</v>
      </c>
      <c r="M748" s="10">
        <f t="shared" si="45"/>
        <v>11.500000000814907</v>
      </c>
      <c r="N748" s="10">
        <f t="shared" si="46"/>
        <v>23.500000000814907</v>
      </c>
      <c r="O748" s="7" t="str">
        <f>IF(ISBLANK(I748),"N/A",IF(((I748-H748)*24)&gt;INDEX(Dim_ServiceType!$E$2:$E$16,MATCH(E748,Dim_ServiceType!$A$2:$A$16,0)),"Yes","No"))</f>
        <v>No</v>
      </c>
      <c r="P748" s="7" t="str">
        <f t="shared" si="47"/>
        <v>Closed</v>
      </c>
      <c r="Q748" s="6">
        <v>5</v>
      </c>
      <c r="R748" s="7" t="s">
        <v>196</v>
      </c>
    </row>
    <row r="749" spans="1:18" x14ac:dyDescent="0.35">
      <c r="A749" s="6">
        <v>748</v>
      </c>
      <c r="B749" s="7" t="s">
        <v>945</v>
      </c>
      <c r="C749" s="6">
        <v>15</v>
      </c>
      <c r="D749" s="6">
        <v>8</v>
      </c>
      <c r="E749" s="6">
        <v>9</v>
      </c>
      <c r="F749" s="6">
        <v>14</v>
      </c>
      <c r="G749" s="9">
        <v>45782.052847222199</v>
      </c>
      <c r="H749" s="9">
        <v>45782.177847222199</v>
      </c>
      <c r="I749" s="9">
        <v>45783.461180555598</v>
      </c>
      <c r="J749" s="9">
        <v>45783.544513888897</v>
      </c>
      <c r="K749" s="7" t="s">
        <v>195</v>
      </c>
      <c r="L749" s="10">
        <f t="shared" si="44"/>
        <v>3</v>
      </c>
      <c r="M749" s="10">
        <f t="shared" si="45"/>
        <v>30.800000001559965</v>
      </c>
      <c r="N749" s="10">
        <f t="shared" si="46"/>
        <v>35.800000000745058</v>
      </c>
      <c r="O749" s="7" t="str">
        <f>IF(ISBLANK(I749),"N/A",IF(((I749-H749)*24)&gt;INDEX(Dim_ServiceType!$E$2:$E$16,MATCH(E749,Dim_ServiceType!$A$2:$A$16,0)),"Yes","No"))</f>
        <v>No</v>
      </c>
      <c r="P749" s="7" t="str">
        <f t="shared" si="47"/>
        <v>Closed</v>
      </c>
      <c r="Q749" s="6">
        <v>4</v>
      </c>
      <c r="R749" s="7" t="s">
        <v>196</v>
      </c>
    </row>
    <row r="750" spans="1:18" x14ac:dyDescent="0.35">
      <c r="A750" s="6">
        <v>749</v>
      </c>
      <c r="B750" s="7" t="s">
        <v>946</v>
      </c>
      <c r="C750" s="6">
        <v>6</v>
      </c>
      <c r="D750" s="6">
        <v>10</v>
      </c>
      <c r="E750" s="6">
        <v>6</v>
      </c>
      <c r="F750" s="6">
        <v>11</v>
      </c>
      <c r="G750" s="9">
        <v>45695.6254050926</v>
      </c>
      <c r="H750" s="9">
        <v>45695.792071759301</v>
      </c>
      <c r="I750" s="9">
        <v>45696.537905092599</v>
      </c>
      <c r="J750" s="9">
        <v>45696.704571759299</v>
      </c>
      <c r="K750" s="7" t="s">
        <v>207</v>
      </c>
      <c r="L750" s="10">
        <f t="shared" si="44"/>
        <v>4.0000000008149073</v>
      </c>
      <c r="M750" s="10">
        <f t="shared" si="45"/>
        <v>17.899999999150168</v>
      </c>
      <c r="N750" s="10">
        <f t="shared" si="46"/>
        <v>25.900000000779983</v>
      </c>
      <c r="O750" s="7" t="str">
        <f>IF(ISBLANK(I750),"N/A",IF(((I750-H750)*24)&gt;INDEX(Dim_ServiceType!$E$2:$E$16,MATCH(E750,Dim_ServiceType!$A$2:$A$16,0)),"Yes","No"))</f>
        <v>No</v>
      </c>
      <c r="P750" s="7" t="str">
        <f t="shared" si="47"/>
        <v>Closed</v>
      </c>
      <c r="Q750" s="6">
        <v>2</v>
      </c>
      <c r="R750" s="7" t="s">
        <v>196</v>
      </c>
    </row>
    <row r="751" spans="1:18" x14ac:dyDescent="0.35">
      <c r="A751" s="6">
        <v>750</v>
      </c>
      <c r="B751" s="7" t="s">
        <v>947</v>
      </c>
      <c r="C751" s="6">
        <v>12</v>
      </c>
      <c r="D751" s="6">
        <v>10</v>
      </c>
      <c r="E751" s="6">
        <v>5</v>
      </c>
      <c r="F751" s="6">
        <v>12</v>
      </c>
      <c r="G751" s="9">
        <v>45942.335960648197</v>
      </c>
      <c r="H751" s="9">
        <v>45943.085960648197</v>
      </c>
      <c r="I751" s="9">
        <v>45943.340127314797</v>
      </c>
      <c r="J751" s="9">
        <v>45943.360960648199</v>
      </c>
      <c r="K751" s="7" t="s">
        <v>200</v>
      </c>
      <c r="L751" s="10">
        <f t="shared" si="44"/>
        <v>18</v>
      </c>
      <c r="M751" s="10">
        <f t="shared" si="45"/>
        <v>6.0999999984051101</v>
      </c>
      <c r="N751" s="10">
        <f t="shared" si="46"/>
        <v>24.600000000034925</v>
      </c>
      <c r="O751" s="7" t="str">
        <f>IF(ISBLANK(I751),"N/A",IF(((I751-H751)*24)&gt;INDEX(Dim_ServiceType!$E$2:$E$16,MATCH(E751,Dim_ServiceType!$A$2:$A$16,0)),"Yes","No"))</f>
        <v>No</v>
      </c>
      <c r="P751" s="7" t="str">
        <f t="shared" si="47"/>
        <v>Closed</v>
      </c>
      <c r="Q751" s="6">
        <v>4</v>
      </c>
      <c r="R751" s="7" t="s">
        <v>196</v>
      </c>
    </row>
    <row r="752" spans="1:18" x14ac:dyDescent="0.35">
      <c r="A752" s="6">
        <v>751</v>
      </c>
      <c r="B752" s="7" t="s">
        <v>948</v>
      </c>
      <c r="C752" s="6">
        <v>3</v>
      </c>
      <c r="D752" s="6">
        <v>4</v>
      </c>
      <c r="E752" s="6">
        <v>10</v>
      </c>
      <c r="F752" s="6">
        <v>6</v>
      </c>
      <c r="G752" s="9">
        <v>45934.043611111098</v>
      </c>
      <c r="H752" s="9">
        <v>45934.168611111098</v>
      </c>
      <c r="I752" s="9">
        <v>45934.464444444398</v>
      </c>
      <c r="J752" s="9">
        <v>45934.4852777778</v>
      </c>
      <c r="K752" s="7" t="s">
        <v>198</v>
      </c>
      <c r="L752" s="10">
        <f t="shared" si="44"/>
        <v>3</v>
      </c>
      <c r="M752" s="10">
        <f t="shared" si="45"/>
        <v>7.0999999992200173</v>
      </c>
      <c r="N752" s="10">
        <f t="shared" si="46"/>
        <v>10.600000000849832</v>
      </c>
      <c r="O752" s="7" t="str">
        <f>IF(ISBLANK(I752),"N/A",IF(((I752-H752)*24)&gt;INDEX(Dim_ServiceType!$E$2:$E$16,MATCH(E752,Dim_ServiceType!$A$2:$A$16,0)),"Yes","No"))</f>
        <v>Yes</v>
      </c>
      <c r="P752" s="7" t="str">
        <f t="shared" si="47"/>
        <v>Closed</v>
      </c>
      <c r="Q752" s="6">
        <v>1</v>
      </c>
      <c r="R752" s="7" t="s">
        <v>193</v>
      </c>
    </row>
    <row r="753" spans="1:18" x14ac:dyDescent="0.35">
      <c r="A753" s="6">
        <v>752</v>
      </c>
      <c r="B753" s="7" t="s">
        <v>949</v>
      </c>
      <c r="C753" s="6">
        <v>15</v>
      </c>
      <c r="D753" s="6">
        <v>7</v>
      </c>
      <c r="E753" s="6">
        <v>13</v>
      </c>
      <c r="F753" s="6">
        <v>3</v>
      </c>
      <c r="G753" s="9">
        <v>45843.755821759303</v>
      </c>
      <c r="H753" s="9">
        <v>45844.755821759303</v>
      </c>
      <c r="I753" s="9">
        <v>45845.314155092601</v>
      </c>
      <c r="J753" s="9">
        <v>45845.397488425901</v>
      </c>
      <c r="K753" s="7" t="s">
        <v>207</v>
      </c>
      <c r="L753" s="10">
        <f t="shared" si="44"/>
        <v>24</v>
      </c>
      <c r="M753" s="10">
        <f t="shared" si="45"/>
        <v>13.399999999150168</v>
      </c>
      <c r="N753" s="10">
        <f t="shared" si="46"/>
        <v>39.399999998335261</v>
      </c>
      <c r="O753" s="7" t="str">
        <f>IF(ISBLANK(I753),"N/A",IF(((I753-H753)*24)&gt;INDEX(Dim_ServiceType!$E$2:$E$16,MATCH(E753,Dim_ServiceType!$A$2:$A$16,0)),"Yes","No"))</f>
        <v>No</v>
      </c>
      <c r="P753" s="7" t="str">
        <f t="shared" si="47"/>
        <v>Closed</v>
      </c>
      <c r="Q753" s="6">
        <v>3</v>
      </c>
      <c r="R753" s="7" t="s">
        <v>193</v>
      </c>
    </row>
    <row r="754" spans="1:18" x14ac:dyDescent="0.35">
      <c r="A754" s="6">
        <v>753</v>
      </c>
      <c r="B754" s="7" t="s">
        <v>950</v>
      </c>
      <c r="C754" s="6">
        <v>8</v>
      </c>
      <c r="D754" s="6">
        <v>2</v>
      </c>
      <c r="E754" s="6">
        <v>11</v>
      </c>
      <c r="F754" s="6">
        <v>14</v>
      </c>
      <c r="G754" s="9">
        <v>45856.280613425901</v>
      </c>
      <c r="H754" s="9">
        <v>45856.363946759302</v>
      </c>
      <c r="I754" s="9">
        <v>45856.701446759304</v>
      </c>
      <c r="J754" s="9">
        <v>45856.868113425902</v>
      </c>
      <c r="K754" s="7" t="s">
        <v>207</v>
      </c>
      <c r="L754" s="10">
        <f t="shared" si="44"/>
        <v>2.0000000016298145</v>
      </c>
      <c r="M754" s="10">
        <f t="shared" si="45"/>
        <v>8.1000000000349246</v>
      </c>
      <c r="N754" s="10">
        <f t="shared" si="46"/>
        <v>14.100000000034925</v>
      </c>
      <c r="O754" s="7" t="str">
        <f>IF(ISBLANK(I754),"N/A",IF(((I754-H754)*24)&gt;INDEX(Dim_ServiceType!$E$2:$E$16,MATCH(E754,Dim_ServiceType!$A$2:$A$16,0)),"Yes","No"))</f>
        <v>No</v>
      </c>
      <c r="P754" s="7" t="str">
        <f t="shared" si="47"/>
        <v>Closed</v>
      </c>
      <c r="Q754" s="6">
        <v>3</v>
      </c>
      <c r="R754" s="7" t="s">
        <v>196</v>
      </c>
    </row>
    <row r="755" spans="1:18" x14ac:dyDescent="0.35">
      <c r="A755" s="6">
        <v>754</v>
      </c>
      <c r="B755" s="7" t="s">
        <v>951</v>
      </c>
      <c r="C755" s="6">
        <v>4</v>
      </c>
      <c r="D755" s="6">
        <v>10</v>
      </c>
      <c r="E755" s="6">
        <v>11</v>
      </c>
      <c r="F755" s="6">
        <v>6</v>
      </c>
      <c r="G755" s="9">
        <v>45976.834687499999</v>
      </c>
      <c r="H755" s="9">
        <v>45977.084687499999</v>
      </c>
      <c r="I755" s="9"/>
      <c r="J755" s="9"/>
      <c r="K755" s="7" t="s">
        <v>200</v>
      </c>
      <c r="L755" s="10">
        <f t="shared" si="44"/>
        <v>6</v>
      </c>
      <c r="M755" s="10" t="str">
        <f t="shared" si="45"/>
        <v/>
      </c>
      <c r="N755" s="10" t="str">
        <f t="shared" si="46"/>
        <v/>
      </c>
      <c r="O755" s="7" t="str">
        <f>IF(ISBLANK(I755),"N/A",IF(((I755-H755)*24)&gt;INDEX(Dim_ServiceType!$E$2:$E$16,MATCH(E755,Dim_ServiceType!$A$2:$A$16,0)),"Yes","No"))</f>
        <v>N/A</v>
      </c>
      <c r="P755" s="7" t="str">
        <f t="shared" si="47"/>
        <v>In Progress</v>
      </c>
      <c r="Q755" s="6"/>
      <c r="R755" s="7"/>
    </row>
    <row r="756" spans="1:18" x14ac:dyDescent="0.35">
      <c r="A756" s="6">
        <v>755</v>
      </c>
      <c r="B756" s="7" t="s">
        <v>952</v>
      </c>
      <c r="C756" s="6">
        <v>7</v>
      </c>
      <c r="D756" s="6">
        <v>15</v>
      </c>
      <c r="E756" s="6">
        <v>13</v>
      </c>
      <c r="F756" s="6">
        <v>10</v>
      </c>
      <c r="G756" s="9">
        <v>45988.793067129598</v>
      </c>
      <c r="H756" s="9">
        <v>45989.126400462999</v>
      </c>
      <c r="I756" s="9">
        <v>45989.718067129601</v>
      </c>
      <c r="J756" s="9">
        <v>45990.218067129601</v>
      </c>
      <c r="K756" s="7" t="s">
        <v>195</v>
      </c>
      <c r="L756" s="10">
        <f t="shared" si="44"/>
        <v>8.0000000016298145</v>
      </c>
      <c r="M756" s="10">
        <f t="shared" si="45"/>
        <v>14.199999998440035</v>
      </c>
      <c r="N756" s="10">
        <f t="shared" si="46"/>
        <v>34.200000000069849</v>
      </c>
      <c r="O756" s="7" t="str">
        <f>IF(ISBLANK(I756),"N/A",IF(((I756-H756)*24)&gt;INDEX(Dim_ServiceType!$E$2:$E$16,MATCH(E756,Dim_ServiceType!$A$2:$A$16,0)),"Yes","No"))</f>
        <v>No</v>
      </c>
      <c r="P756" s="7" t="str">
        <f t="shared" si="47"/>
        <v>Closed</v>
      </c>
      <c r="Q756" s="6">
        <v>5</v>
      </c>
      <c r="R756" s="7" t="s">
        <v>196</v>
      </c>
    </row>
    <row r="757" spans="1:18" x14ac:dyDescent="0.35">
      <c r="A757" s="6">
        <v>756</v>
      </c>
      <c r="B757" s="7" t="s">
        <v>953</v>
      </c>
      <c r="C757" s="6">
        <v>1</v>
      </c>
      <c r="D757" s="6">
        <v>9</v>
      </c>
      <c r="E757" s="6">
        <v>3</v>
      </c>
      <c r="F757" s="6">
        <v>10</v>
      </c>
      <c r="G757" s="9">
        <v>45772.908067129603</v>
      </c>
      <c r="H757" s="9">
        <v>45772.928900462997</v>
      </c>
      <c r="I757" s="9">
        <v>45773.245567129597</v>
      </c>
      <c r="J757" s="9">
        <v>45773.266400462999</v>
      </c>
      <c r="K757" s="7" t="s">
        <v>192</v>
      </c>
      <c r="L757" s="10">
        <f t="shared" si="44"/>
        <v>0.50000000145519152</v>
      </c>
      <c r="M757" s="10">
        <f t="shared" si="45"/>
        <v>7.5999999984051101</v>
      </c>
      <c r="N757" s="10">
        <f t="shared" si="46"/>
        <v>8.6000000014901161</v>
      </c>
      <c r="O757" s="7" t="str">
        <f>IF(ISBLANK(I757),"N/A",IF(((I757-H757)*24)&gt;INDEX(Dim_ServiceType!$E$2:$E$16,MATCH(E757,Dim_ServiceType!$A$2:$A$16,0)),"Yes","No"))</f>
        <v>No</v>
      </c>
      <c r="P757" s="7" t="str">
        <f t="shared" si="47"/>
        <v>Closed</v>
      </c>
      <c r="Q757" s="6">
        <v>4</v>
      </c>
      <c r="R757" s="7" t="s">
        <v>196</v>
      </c>
    </row>
    <row r="758" spans="1:18" x14ac:dyDescent="0.35">
      <c r="A758" s="6">
        <v>757</v>
      </c>
      <c r="B758" s="7" t="s">
        <v>954</v>
      </c>
      <c r="C758" s="6">
        <v>13</v>
      </c>
      <c r="D758" s="6">
        <v>13</v>
      </c>
      <c r="E758" s="6">
        <v>13</v>
      </c>
      <c r="F758" s="6">
        <v>15</v>
      </c>
      <c r="G758" s="9">
        <v>45712.527280092603</v>
      </c>
      <c r="H758" s="9">
        <v>45712.652280092603</v>
      </c>
      <c r="I758" s="9">
        <v>45713.439780092602</v>
      </c>
      <c r="J758" s="9">
        <v>45713.481446759302</v>
      </c>
      <c r="K758" s="7" t="s">
        <v>192</v>
      </c>
      <c r="L758" s="10">
        <f t="shared" si="44"/>
        <v>3</v>
      </c>
      <c r="M758" s="10">
        <f t="shared" si="45"/>
        <v>18.899999999965075</v>
      </c>
      <c r="N758" s="10">
        <f t="shared" si="46"/>
        <v>22.900000000779983</v>
      </c>
      <c r="O758" s="7" t="str">
        <f>IF(ISBLANK(I758),"N/A",IF(((I758-H758)*24)&gt;INDEX(Dim_ServiceType!$E$2:$E$16,MATCH(E758,Dim_ServiceType!$A$2:$A$16,0)),"Yes","No"))</f>
        <v>No</v>
      </c>
      <c r="P758" s="7" t="str">
        <f t="shared" si="47"/>
        <v>Closed</v>
      </c>
      <c r="Q758" s="6">
        <v>1</v>
      </c>
      <c r="R758" s="7" t="s">
        <v>196</v>
      </c>
    </row>
    <row r="759" spans="1:18" x14ac:dyDescent="0.35">
      <c r="A759" s="6">
        <v>758</v>
      </c>
      <c r="B759" s="7" t="s">
        <v>955</v>
      </c>
      <c r="C759" s="6">
        <v>8</v>
      </c>
      <c r="D759" s="6">
        <v>7</v>
      </c>
      <c r="E759" s="6">
        <v>12</v>
      </c>
      <c r="F759" s="6">
        <v>7</v>
      </c>
      <c r="G759" s="9">
        <v>46002.189421296302</v>
      </c>
      <c r="H759" s="9"/>
      <c r="I759" s="9"/>
      <c r="J759" s="9"/>
      <c r="K759" s="7" t="s">
        <v>200</v>
      </c>
      <c r="L759" s="10" t="str">
        <f t="shared" si="44"/>
        <v/>
      </c>
      <c r="M759" s="10" t="str">
        <f t="shared" si="45"/>
        <v/>
      </c>
      <c r="N759" s="10" t="str">
        <f t="shared" si="46"/>
        <v/>
      </c>
      <c r="O759" s="7" t="str">
        <f>IF(ISBLANK(I759),"N/A",IF(((I759-H759)*24)&gt;INDEX(Dim_ServiceType!$E$2:$E$16,MATCH(E759,Dim_ServiceType!$A$2:$A$16,0)),"Yes","No"))</f>
        <v>N/A</v>
      </c>
      <c r="P759" s="7" t="str">
        <f t="shared" si="47"/>
        <v>Open (Unassigned)</v>
      </c>
      <c r="Q759" s="6"/>
      <c r="R759" s="7"/>
    </row>
    <row r="760" spans="1:18" x14ac:dyDescent="0.35">
      <c r="A760" s="6">
        <v>759</v>
      </c>
      <c r="B760" s="7" t="s">
        <v>956</v>
      </c>
      <c r="C760" s="6">
        <v>9</v>
      </c>
      <c r="D760" s="6">
        <v>2</v>
      </c>
      <c r="E760" s="6">
        <v>8</v>
      </c>
      <c r="F760" s="6">
        <v>3</v>
      </c>
      <c r="G760" s="9">
        <v>45988.394606481503</v>
      </c>
      <c r="H760" s="9">
        <v>45988.436273148203</v>
      </c>
      <c r="I760" s="9">
        <v>45988.715439814798</v>
      </c>
      <c r="J760" s="9">
        <v>45988.757106481498</v>
      </c>
      <c r="K760" s="7" t="s">
        <v>207</v>
      </c>
      <c r="L760" s="10">
        <f t="shared" si="44"/>
        <v>1.0000000008149073</v>
      </c>
      <c r="M760" s="10">
        <f t="shared" si="45"/>
        <v>6.6999999982654117</v>
      </c>
      <c r="N760" s="10">
        <f t="shared" si="46"/>
        <v>8.6999999998952262</v>
      </c>
      <c r="O760" s="7" t="str">
        <f>IF(ISBLANK(I760),"N/A",IF(((I760-H760)*24)&gt;INDEX(Dim_ServiceType!$E$2:$E$16,MATCH(E760,Dim_ServiceType!$A$2:$A$16,0)),"Yes","No"))</f>
        <v>Yes</v>
      </c>
      <c r="P760" s="7" t="str">
        <f t="shared" si="47"/>
        <v>Closed</v>
      </c>
      <c r="Q760" s="6">
        <v>1</v>
      </c>
      <c r="R760" s="7" t="s">
        <v>196</v>
      </c>
    </row>
    <row r="761" spans="1:18" x14ac:dyDescent="0.35">
      <c r="A761" s="6">
        <v>760</v>
      </c>
      <c r="B761" s="7" t="s">
        <v>957</v>
      </c>
      <c r="C761" s="6">
        <v>7</v>
      </c>
      <c r="D761" s="6">
        <v>4</v>
      </c>
      <c r="E761" s="6">
        <v>11</v>
      </c>
      <c r="F761" s="6">
        <v>8</v>
      </c>
      <c r="G761" s="9">
        <v>45870.753159722197</v>
      </c>
      <c r="H761" s="9">
        <v>45870.919826388897</v>
      </c>
      <c r="I761" s="9">
        <v>45871.461493055598</v>
      </c>
      <c r="J761" s="9">
        <v>45871.503159722197</v>
      </c>
      <c r="K761" s="7" t="s">
        <v>192</v>
      </c>
      <c r="L761" s="10">
        <f t="shared" si="44"/>
        <v>4.0000000008149073</v>
      </c>
      <c r="M761" s="10">
        <f t="shared" si="45"/>
        <v>13.000000000814907</v>
      </c>
      <c r="N761" s="10">
        <f t="shared" si="46"/>
        <v>18</v>
      </c>
      <c r="O761" s="7" t="str">
        <f>IF(ISBLANK(I761),"N/A",IF(((I761-H761)*24)&gt;INDEX(Dim_ServiceType!$E$2:$E$16,MATCH(E761,Dim_ServiceType!$A$2:$A$16,0)),"Yes","No"))</f>
        <v>Yes</v>
      </c>
      <c r="P761" s="7" t="str">
        <f t="shared" si="47"/>
        <v>Closed</v>
      </c>
      <c r="Q761" s="6">
        <v>5</v>
      </c>
      <c r="R761" s="7" t="s">
        <v>196</v>
      </c>
    </row>
    <row r="762" spans="1:18" x14ac:dyDescent="0.35">
      <c r="A762" s="6">
        <v>761</v>
      </c>
      <c r="B762" s="7" t="s">
        <v>958</v>
      </c>
      <c r="C762" s="6">
        <v>7</v>
      </c>
      <c r="D762" s="6">
        <v>15</v>
      </c>
      <c r="E762" s="6">
        <v>7</v>
      </c>
      <c r="F762" s="6">
        <v>12</v>
      </c>
      <c r="G762" s="9">
        <v>45794.6197106482</v>
      </c>
      <c r="H762" s="9">
        <v>45795.1197106482</v>
      </c>
      <c r="I762" s="9">
        <v>45796.1655439815</v>
      </c>
      <c r="J762" s="9">
        <v>45797.1655439815</v>
      </c>
      <c r="K762" s="7" t="s">
        <v>207</v>
      </c>
      <c r="L762" s="10">
        <f t="shared" si="44"/>
        <v>12</v>
      </c>
      <c r="M762" s="10">
        <f t="shared" si="45"/>
        <v>25.099999999220017</v>
      </c>
      <c r="N762" s="10">
        <f t="shared" si="46"/>
        <v>61.099999999220017</v>
      </c>
      <c r="O762" s="7" t="str">
        <f>IF(ISBLANK(I762),"N/A",IF(((I762-H762)*24)&gt;INDEX(Dim_ServiceType!$E$2:$E$16,MATCH(E762,Dim_ServiceType!$A$2:$A$16,0)),"Yes","No"))</f>
        <v>Yes</v>
      </c>
      <c r="P762" s="7" t="str">
        <f t="shared" si="47"/>
        <v>Closed</v>
      </c>
      <c r="Q762" s="6">
        <v>3</v>
      </c>
      <c r="R762" s="7" t="s">
        <v>196</v>
      </c>
    </row>
    <row r="763" spans="1:18" x14ac:dyDescent="0.35">
      <c r="A763" s="6">
        <v>762</v>
      </c>
      <c r="B763" s="7" t="s">
        <v>959</v>
      </c>
      <c r="C763" s="6">
        <v>4</v>
      </c>
      <c r="D763" s="6">
        <v>15</v>
      </c>
      <c r="E763" s="6">
        <v>4</v>
      </c>
      <c r="F763" s="6">
        <v>10</v>
      </c>
      <c r="G763" s="9">
        <v>45992.730173611097</v>
      </c>
      <c r="H763" s="9"/>
      <c r="I763" s="9"/>
      <c r="J763" s="9"/>
      <c r="K763" s="7" t="s">
        <v>207</v>
      </c>
      <c r="L763" s="10" t="str">
        <f t="shared" si="44"/>
        <v/>
      </c>
      <c r="M763" s="10" t="str">
        <f t="shared" si="45"/>
        <v/>
      </c>
      <c r="N763" s="10" t="str">
        <f t="shared" si="46"/>
        <v/>
      </c>
      <c r="O763" s="7" t="str">
        <f>IF(ISBLANK(I763),"N/A",IF(((I763-H763)*24)&gt;INDEX(Dim_ServiceType!$E$2:$E$16,MATCH(E763,Dim_ServiceType!$A$2:$A$16,0)),"Yes","No"))</f>
        <v>N/A</v>
      </c>
      <c r="P763" s="7" t="str">
        <f t="shared" si="47"/>
        <v>Open (Unassigned)</v>
      </c>
      <c r="Q763" s="6"/>
      <c r="R763" s="7"/>
    </row>
    <row r="764" spans="1:18" x14ac:dyDescent="0.35">
      <c r="A764" s="6">
        <v>763</v>
      </c>
      <c r="B764" s="7" t="s">
        <v>960</v>
      </c>
      <c r="C764" s="6">
        <v>8</v>
      </c>
      <c r="D764" s="6">
        <v>13</v>
      </c>
      <c r="E764" s="6">
        <v>1</v>
      </c>
      <c r="F764" s="6">
        <v>14</v>
      </c>
      <c r="G764" s="9">
        <v>45985.974189814799</v>
      </c>
      <c r="H764" s="9">
        <v>45986.099189814799</v>
      </c>
      <c r="I764" s="9">
        <v>45986.299189814803</v>
      </c>
      <c r="J764" s="9">
        <v>45986.799189814803</v>
      </c>
      <c r="K764" s="7" t="s">
        <v>195</v>
      </c>
      <c r="L764" s="10">
        <f t="shared" si="44"/>
        <v>3</v>
      </c>
      <c r="M764" s="10">
        <f t="shared" si="45"/>
        <v>4.8000000001047738</v>
      </c>
      <c r="N764" s="10">
        <f t="shared" si="46"/>
        <v>19.800000000104774</v>
      </c>
      <c r="O764" s="7" t="str">
        <f>IF(ISBLANK(I764),"N/A",IF(((I764-H764)*24)&gt;INDEX(Dim_ServiceType!$E$2:$E$16,MATCH(E764,Dim_ServiceType!$A$2:$A$16,0)),"Yes","No"))</f>
        <v>Yes</v>
      </c>
      <c r="P764" s="7" t="str">
        <f t="shared" si="47"/>
        <v>Closed</v>
      </c>
      <c r="Q764" s="6">
        <v>4</v>
      </c>
      <c r="R764" s="7" t="s">
        <v>196</v>
      </c>
    </row>
    <row r="765" spans="1:18" x14ac:dyDescent="0.35">
      <c r="A765" s="6">
        <v>764</v>
      </c>
      <c r="B765" s="7" t="s">
        <v>961</v>
      </c>
      <c r="C765" s="6">
        <v>13</v>
      </c>
      <c r="D765" s="6">
        <v>12</v>
      </c>
      <c r="E765" s="6">
        <v>3</v>
      </c>
      <c r="F765" s="6">
        <v>1</v>
      </c>
      <c r="G765" s="9">
        <v>45878.580486111103</v>
      </c>
      <c r="H765" s="9">
        <v>45879.580486111103</v>
      </c>
      <c r="I765" s="9">
        <v>45879.701319444401</v>
      </c>
      <c r="J765" s="9">
        <v>45880.701319444401</v>
      </c>
      <c r="K765" s="7" t="s">
        <v>207</v>
      </c>
      <c r="L765" s="10">
        <f t="shared" si="44"/>
        <v>24</v>
      </c>
      <c r="M765" s="10">
        <f t="shared" si="45"/>
        <v>2.8999999991501682</v>
      </c>
      <c r="N765" s="10">
        <f t="shared" si="46"/>
        <v>50.899999999150168</v>
      </c>
      <c r="O765" s="7" t="str">
        <f>IF(ISBLANK(I765),"N/A",IF(((I765-H765)*24)&gt;INDEX(Dim_ServiceType!$E$2:$E$16,MATCH(E765,Dim_ServiceType!$A$2:$A$16,0)),"Yes","No"))</f>
        <v>No</v>
      </c>
      <c r="P765" s="7" t="str">
        <f t="shared" si="47"/>
        <v>Closed</v>
      </c>
      <c r="Q765" s="6">
        <v>5</v>
      </c>
      <c r="R765" s="7" t="s">
        <v>196</v>
      </c>
    </row>
    <row r="766" spans="1:18" x14ac:dyDescent="0.35">
      <c r="A766" s="6">
        <v>765</v>
      </c>
      <c r="B766" s="7" t="s">
        <v>962</v>
      </c>
      <c r="C766" s="6">
        <v>13</v>
      </c>
      <c r="D766" s="6">
        <v>11</v>
      </c>
      <c r="E766" s="6">
        <v>15</v>
      </c>
      <c r="F766" s="6">
        <v>2</v>
      </c>
      <c r="G766" s="9">
        <v>45882.485740740703</v>
      </c>
      <c r="H766" s="9">
        <v>45882.819074074097</v>
      </c>
      <c r="I766" s="9">
        <v>45883.914907407401</v>
      </c>
      <c r="J766" s="9">
        <v>45883.935740740701</v>
      </c>
      <c r="K766" s="7" t="s">
        <v>198</v>
      </c>
      <c r="L766" s="10">
        <f t="shared" si="44"/>
        <v>8.0000000014551915</v>
      </c>
      <c r="M766" s="10">
        <f t="shared" si="45"/>
        <v>26.299999999289867</v>
      </c>
      <c r="N766" s="10">
        <f t="shared" si="46"/>
        <v>34.799999999930151</v>
      </c>
      <c r="O766" s="7" t="str">
        <f>IF(ISBLANK(I766),"N/A",IF(((I766-H766)*24)&gt;INDEX(Dim_ServiceType!$E$2:$E$16,MATCH(E766,Dim_ServiceType!$A$2:$A$16,0)),"Yes","No"))</f>
        <v>Yes</v>
      </c>
      <c r="P766" s="7" t="str">
        <f t="shared" si="47"/>
        <v>Closed</v>
      </c>
      <c r="Q766" s="6">
        <v>3</v>
      </c>
      <c r="R766" s="7" t="s">
        <v>196</v>
      </c>
    </row>
    <row r="767" spans="1:18" x14ac:dyDescent="0.35">
      <c r="A767" s="6">
        <v>766</v>
      </c>
      <c r="B767" s="7" t="s">
        <v>963</v>
      </c>
      <c r="C767" s="6">
        <v>15</v>
      </c>
      <c r="D767" s="6">
        <v>4</v>
      </c>
      <c r="E767" s="6">
        <v>6</v>
      </c>
      <c r="F767" s="6">
        <v>7</v>
      </c>
      <c r="G767" s="9">
        <v>45916.609537037002</v>
      </c>
      <c r="H767" s="9">
        <v>45916.776203703703</v>
      </c>
      <c r="I767" s="9"/>
      <c r="J767" s="9"/>
      <c r="K767" s="7" t="s">
        <v>198</v>
      </c>
      <c r="L767" s="10">
        <f t="shared" si="44"/>
        <v>4.0000000008149073</v>
      </c>
      <c r="M767" s="10" t="str">
        <f t="shared" si="45"/>
        <v/>
      </c>
      <c r="N767" s="10" t="str">
        <f t="shared" si="46"/>
        <v/>
      </c>
      <c r="O767" s="7" t="str">
        <f>IF(ISBLANK(I767),"N/A",IF(((I767-H767)*24)&gt;INDEX(Dim_ServiceType!$E$2:$E$16,MATCH(E767,Dim_ServiceType!$A$2:$A$16,0)),"Yes","No"))</f>
        <v>N/A</v>
      </c>
      <c r="P767" s="7" t="str">
        <f t="shared" si="47"/>
        <v>In Progress</v>
      </c>
      <c r="Q767" s="6"/>
      <c r="R767" s="7"/>
    </row>
    <row r="768" spans="1:18" x14ac:dyDescent="0.35">
      <c r="A768" s="6">
        <v>767</v>
      </c>
      <c r="B768" s="7" t="s">
        <v>964</v>
      </c>
      <c r="C768" s="6">
        <v>8</v>
      </c>
      <c r="D768" s="6">
        <v>8</v>
      </c>
      <c r="E768" s="6">
        <v>14</v>
      </c>
      <c r="F768" s="6">
        <v>9</v>
      </c>
      <c r="G768" s="9">
        <v>45690.537777777798</v>
      </c>
      <c r="H768" s="9">
        <v>45691.287777777798</v>
      </c>
      <c r="I768" s="9"/>
      <c r="J768" s="9"/>
      <c r="K768" s="7" t="s">
        <v>192</v>
      </c>
      <c r="L768" s="10">
        <f t="shared" si="44"/>
        <v>18</v>
      </c>
      <c r="M768" s="10" t="str">
        <f t="shared" si="45"/>
        <v/>
      </c>
      <c r="N768" s="10" t="str">
        <f t="shared" si="46"/>
        <v/>
      </c>
      <c r="O768" s="7" t="str">
        <f>IF(ISBLANK(I768),"N/A",IF(((I768-H768)*24)&gt;INDEX(Dim_ServiceType!$E$2:$E$16,MATCH(E768,Dim_ServiceType!$A$2:$A$16,0)),"Yes","No"))</f>
        <v>N/A</v>
      </c>
      <c r="P768" s="7" t="str">
        <f t="shared" si="47"/>
        <v>In Progress</v>
      </c>
      <c r="Q768" s="6"/>
      <c r="R768" s="7"/>
    </row>
    <row r="769" spans="1:18" x14ac:dyDescent="0.35">
      <c r="A769" s="6">
        <v>768</v>
      </c>
      <c r="B769" s="7" t="s">
        <v>965</v>
      </c>
      <c r="C769" s="6">
        <v>2</v>
      </c>
      <c r="D769" s="6">
        <v>14</v>
      </c>
      <c r="E769" s="6">
        <v>10</v>
      </c>
      <c r="F769" s="6">
        <v>12</v>
      </c>
      <c r="G769" s="9">
        <v>45933.6813541667</v>
      </c>
      <c r="H769" s="9">
        <v>45933.848020833299</v>
      </c>
      <c r="I769" s="9">
        <v>45934.039687500001</v>
      </c>
      <c r="J769" s="9">
        <v>45934.0605208333</v>
      </c>
      <c r="K769" s="7" t="s">
        <v>207</v>
      </c>
      <c r="L769" s="10">
        <f t="shared" si="44"/>
        <v>3.9999999983701855</v>
      </c>
      <c r="M769" s="10">
        <f t="shared" si="45"/>
        <v>4.6000000008498318</v>
      </c>
      <c r="N769" s="10">
        <f t="shared" si="46"/>
        <v>9.0999999984051101</v>
      </c>
      <c r="O769" s="7" t="str">
        <f>IF(ISBLANK(I769),"N/A",IF(((I769-H769)*24)&gt;INDEX(Dim_ServiceType!$E$2:$E$16,MATCH(E769,Dim_ServiceType!$A$2:$A$16,0)),"Yes","No"))</f>
        <v>No</v>
      </c>
      <c r="P769" s="7" t="str">
        <f t="shared" si="47"/>
        <v>Closed</v>
      </c>
      <c r="Q769" s="6">
        <v>3</v>
      </c>
      <c r="R769" s="7" t="s">
        <v>196</v>
      </c>
    </row>
    <row r="770" spans="1:18" x14ac:dyDescent="0.35">
      <c r="A770" s="6">
        <v>769</v>
      </c>
      <c r="B770" s="7" t="s">
        <v>966</v>
      </c>
      <c r="C770" s="6">
        <v>4</v>
      </c>
      <c r="D770" s="6">
        <v>11</v>
      </c>
      <c r="E770" s="6">
        <v>5</v>
      </c>
      <c r="F770" s="6">
        <v>6</v>
      </c>
      <c r="G770" s="9">
        <v>45941.662858796299</v>
      </c>
      <c r="H770" s="9">
        <v>45941.996192129598</v>
      </c>
      <c r="I770" s="9">
        <v>45942.433692129598</v>
      </c>
      <c r="J770" s="9">
        <v>45942.454525462999</v>
      </c>
      <c r="K770" s="7" t="s">
        <v>198</v>
      </c>
      <c r="L770" s="10">
        <f t="shared" ref="L770:L833" si="48">IF(ISBLANK(H770),"",(H770-G770)*24)</f>
        <v>7.9999999991850927</v>
      </c>
      <c r="M770" s="10">
        <f t="shared" ref="M770:M833" si="49">IF(ISBLANK(I770),"",(I770-H770)*24)</f>
        <v>10.5</v>
      </c>
      <c r="N770" s="10">
        <f t="shared" ref="N770:N833" si="50">IF(ISBLANK(J770),"",(J770-G770)*24)</f>
        <v>19.000000000814907</v>
      </c>
      <c r="O770" s="7" t="str">
        <f>IF(ISBLANK(I770),"N/A",IF(((I770-H770)*24)&gt;INDEX(Dim_ServiceType!$E$2:$E$16,MATCH(E770,Dim_ServiceType!$A$2:$A$16,0)),"Yes","No"))</f>
        <v>No</v>
      </c>
      <c r="P770" s="7" t="str">
        <f t="shared" ref="P770:P833" si="51">IF(ISBLANK(H770),"Open (Unassigned)",IF(ISBLANK(I770),"In Progress",IF(ISBLANK(J770),"Resolved (Pending Closure)","Closed")))</f>
        <v>Closed</v>
      </c>
      <c r="Q770" s="6">
        <v>2</v>
      </c>
      <c r="R770" s="7" t="s">
        <v>196</v>
      </c>
    </row>
    <row r="771" spans="1:18" x14ac:dyDescent="0.35">
      <c r="A771" s="6">
        <v>770</v>
      </c>
      <c r="B771" s="7" t="s">
        <v>967</v>
      </c>
      <c r="C771" s="6">
        <v>9</v>
      </c>
      <c r="D771" s="6">
        <v>7</v>
      </c>
      <c r="E771" s="6">
        <v>6</v>
      </c>
      <c r="F771" s="6">
        <v>3</v>
      </c>
      <c r="G771" s="9">
        <v>45789.785787036999</v>
      </c>
      <c r="H771" s="9">
        <v>45789.9524537037</v>
      </c>
      <c r="I771" s="9">
        <v>45792.231620370403</v>
      </c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ed" si="49"/>
        <v>54.700000000884756</v>
      </c>
      <c r="N771" s="10">
        <f t="shared" si="50"/>
        <v>82.700000001699664</v>
      </c>
      <c r="O771" s="7" t="str">
        <f>IF(ISBLANK(I771),"N/A",IF(((I771-H771)*24)&gt;INDEX(Dim_ServiceType!$E$2:$E$16,MATCH(E771,Dim_ServiceType!$A$2:$A$16,0)),"Yes","No"))</f>
        <v>Yes</v>
      </c>
      <c r="P771" s="7" t="str">
        <f t="shared" si="51"/>
        <v>Closed</v>
      </c>
      <c r="Q771" s="6">
        <v>1</v>
      </c>
      <c r="R771" s="7" t="s">
        <v>196</v>
      </c>
    </row>
    <row r="772" spans="1:18" x14ac:dyDescent="0.35">
      <c r="A772" s="6">
        <v>771</v>
      </c>
      <c r="B772" s="7" t="s">
        <v>968</v>
      </c>
      <c r="C772" s="6">
        <v>1</v>
      </c>
      <c r="D772" s="6">
        <v>11</v>
      </c>
      <c r="E772" s="6">
        <v>5</v>
      </c>
      <c r="F772" s="6">
        <v>1</v>
      </c>
      <c r="G772" s="9">
        <v>45789.401550925897</v>
      </c>
      <c r="H772" s="9">
        <v>45789.443217592598</v>
      </c>
      <c r="I772" s="9">
        <v>45790.7598842593</v>
      </c>
      <c r="J772" s="9">
        <v>45790.780717592599</v>
      </c>
      <c r="K772" s="7" t="s">
        <v>192</v>
      </c>
      <c r="L772" s="10">
        <f t="shared" si="48"/>
        <v>1.0000000008149073</v>
      </c>
      <c r="M772" s="10">
        <f t="shared" si="49"/>
        <v>31.600000000849832</v>
      </c>
      <c r="N772" s="10">
        <f t="shared" si="50"/>
        <v>33.100000000849832</v>
      </c>
      <c r="O772" s="7" t="str">
        <f>IF(ISBLANK(I772),"N/A",IF(((I772-H772)*24)&gt;INDEX(Dim_ServiceType!$E$2:$E$16,MATCH(E772,Dim_ServiceType!$A$2:$A$16,0)),"Yes","No"))</f>
        <v>Yes</v>
      </c>
      <c r="P772" s="7" t="str">
        <f t="shared" si="51"/>
        <v>Closed</v>
      </c>
      <c r="Q772" s="6">
        <v>4</v>
      </c>
      <c r="R772" s="7" t="s">
        <v>196</v>
      </c>
    </row>
    <row r="773" spans="1:18" x14ac:dyDescent="0.35">
      <c r="A773" s="6">
        <v>772</v>
      </c>
      <c r="B773" s="7" t="s">
        <v>969</v>
      </c>
      <c r="C773" s="6">
        <v>4</v>
      </c>
      <c r="D773" s="6">
        <v>15</v>
      </c>
      <c r="E773" s="6">
        <v>6</v>
      </c>
      <c r="F773" s="6">
        <v>9</v>
      </c>
      <c r="G773" s="9">
        <v>45918.051770833299</v>
      </c>
      <c r="H773" s="9">
        <v>45918.801770833299</v>
      </c>
      <c r="I773" s="9">
        <v>45919.689270833303</v>
      </c>
      <c r="J773" s="9">
        <v>45920.689270833303</v>
      </c>
      <c r="K773" s="7" t="s">
        <v>198</v>
      </c>
      <c r="L773" s="10">
        <f t="shared" si="48"/>
        <v>18</v>
      </c>
      <c r="M773" s="10">
        <f t="shared" si="49"/>
        <v>21.300000000104774</v>
      </c>
      <c r="N773" s="10">
        <f t="shared" si="50"/>
        <v>63.300000000104774</v>
      </c>
      <c r="O773" s="7" t="str">
        <f>IF(ISBLANK(I773),"N/A",IF(((I773-H773)*24)&gt;INDEX(Dim_ServiceType!$E$2:$E$16,MATCH(E773,Dim_ServiceType!$A$2:$A$16,0)),"Yes","No"))</f>
        <v>No</v>
      </c>
      <c r="P773" s="7" t="str">
        <f t="shared" si="51"/>
        <v>Closed</v>
      </c>
      <c r="Q773" s="6">
        <v>4</v>
      </c>
      <c r="R773" s="7" t="s">
        <v>196</v>
      </c>
    </row>
    <row r="774" spans="1:18" x14ac:dyDescent="0.35">
      <c r="A774" s="6">
        <v>773</v>
      </c>
      <c r="B774" s="7" t="s">
        <v>970</v>
      </c>
      <c r="C774" s="6">
        <v>13</v>
      </c>
      <c r="D774" s="6">
        <v>14</v>
      </c>
      <c r="E774" s="6">
        <v>4</v>
      </c>
      <c r="F774" s="6">
        <v>4</v>
      </c>
      <c r="G774" s="9">
        <v>45831.133043981499</v>
      </c>
      <c r="H774" s="9">
        <v>45831.216377314799</v>
      </c>
      <c r="I774" s="9">
        <v>45831.633043981499</v>
      </c>
      <c r="J774" s="9">
        <v>45831.716377314799</v>
      </c>
      <c r="K774" s="7" t="s">
        <v>200</v>
      </c>
      <c r="L774" s="10">
        <f t="shared" si="48"/>
        <v>1.9999999991850927</v>
      </c>
      <c r="M774" s="10">
        <f t="shared" si="49"/>
        <v>10.000000000814907</v>
      </c>
      <c r="N774" s="10">
        <f t="shared" si="50"/>
        <v>13.999999999185093</v>
      </c>
      <c r="O774" s="7" t="str">
        <f>IF(ISBLANK(I774),"N/A",IF(((I774-H774)*24)&gt;INDEX(Dim_ServiceType!$E$2:$E$16,MATCH(E774,Dim_ServiceType!$A$2:$A$16,0)),"Yes","No"))</f>
        <v>No</v>
      </c>
      <c r="P774" s="7" t="str">
        <f t="shared" si="51"/>
        <v>Closed</v>
      </c>
      <c r="Q774" s="6">
        <v>2</v>
      </c>
      <c r="R774" s="7" t="s">
        <v>196</v>
      </c>
    </row>
    <row r="775" spans="1:18" x14ac:dyDescent="0.35">
      <c r="A775" s="6">
        <v>774</v>
      </c>
      <c r="B775" s="7" t="s">
        <v>971</v>
      </c>
      <c r="C775" s="6">
        <v>14</v>
      </c>
      <c r="D775" s="6">
        <v>14</v>
      </c>
      <c r="E775" s="6">
        <v>15</v>
      </c>
      <c r="F775" s="6">
        <v>1</v>
      </c>
      <c r="G775" s="9">
        <v>45981.5223148148</v>
      </c>
      <c r="H775" s="9">
        <v>45982.5223148148</v>
      </c>
      <c r="I775" s="9">
        <v>45983.359814814801</v>
      </c>
      <c r="J775" s="9">
        <v>45983.380648148202</v>
      </c>
      <c r="K775" s="7" t="s">
        <v>200</v>
      </c>
      <c r="L775" s="10">
        <f t="shared" si="48"/>
        <v>24</v>
      </c>
      <c r="M775" s="10">
        <f t="shared" si="49"/>
        <v>20.100000000034925</v>
      </c>
      <c r="N775" s="10">
        <f t="shared" si="50"/>
        <v>44.600000001664739</v>
      </c>
      <c r="O775" s="7" t="str">
        <f>IF(ISBLANK(I775),"N/A",IF(((I775-H775)*24)&gt;INDEX(Dim_ServiceType!$E$2:$E$16,MATCH(E775,Dim_ServiceType!$A$2:$A$16,0)),"Yes","No"))</f>
        <v>No</v>
      </c>
      <c r="P775" s="7" t="str">
        <f t="shared" si="51"/>
        <v>Closed</v>
      </c>
      <c r="Q775" s="6">
        <v>4</v>
      </c>
      <c r="R775" s="7" t="s">
        <v>196</v>
      </c>
    </row>
    <row r="776" spans="1:18" x14ac:dyDescent="0.35">
      <c r="A776" s="6">
        <v>775</v>
      </c>
      <c r="B776" s="7" t="s">
        <v>972</v>
      </c>
      <c r="C776" s="6">
        <v>15</v>
      </c>
      <c r="D776" s="6">
        <v>7</v>
      </c>
      <c r="E776" s="6">
        <v>12</v>
      </c>
      <c r="F776" s="6">
        <v>6</v>
      </c>
      <c r="G776" s="9">
        <v>45808.853703703702</v>
      </c>
      <c r="H776" s="9">
        <v>45809.853703703702</v>
      </c>
      <c r="I776" s="9"/>
      <c r="J776" s="9"/>
      <c r="K776" s="7" t="s">
        <v>207</v>
      </c>
      <c r="L776" s="10">
        <f t="shared" si="48"/>
        <v>24</v>
      </c>
      <c r="M776" s="10" t="str">
        <f t="shared" si="49"/>
        <v/>
      </c>
      <c r="N776" s="10" t="str">
        <f t="shared" si="50"/>
        <v/>
      </c>
      <c r="O776" s="7" t="str">
        <f>IF(ISBLANK(I776),"N/A",IF(((I776-H776)*24)&gt;INDEX(Dim_ServiceType!$E$2:$E$16,MATCH(E776,Dim_ServiceType!$A$2:$A$16,0)),"Yes","No"))</f>
        <v>N/A</v>
      </c>
      <c r="P776" s="7" t="str">
        <f t="shared" si="51"/>
        <v>In Progress</v>
      </c>
      <c r="Q776" s="6"/>
      <c r="R776" s="7"/>
    </row>
    <row r="777" spans="1:18" x14ac:dyDescent="0.35">
      <c r="A777" s="6">
        <v>776</v>
      </c>
      <c r="B777" s="7" t="s">
        <v>973</v>
      </c>
      <c r="C777" s="6">
        <v>8</v>
      </c>
      <c r="D777" s="6">
        <v>8</v>
      </c>
      <c r="E777" s="6">
        <v>8</v>
      </c>
      <c r="F777" s="6">
        <v>11</v>
      </c>
      <c r="G777" s="9">
        <v>45921.773506944497</v>
      </c>
      <c r="H777" s="9">
        <v>45921.856840277796</v>
      </c>
      <c r="I777" s="9">
        <v>45922.148506944497</v>
      </c>
      <c r="J777" s="9">
        <v>45922.315173611103</v>
      </c>
      <c r="K777" s="7" t="s">
        <v>195</v>
      </c>
      <c r="L777" s="10">
        <f t="shared" si="48"/>
        <v>1.9999999991850927</v>
      </c>
      <c r="M777" s="10">
        <f t="shared" si="49"/>
        <v>7.0000000008149073</v>
      </c>
      <c r="N777" s="10">
        <f t="shared" si="50"/>
        <v>12.999999998544808</v>
      </c>
      <c r="O777" s="7" t="str">
        <f>IF(ISBLANK(I777),"N/A",IF(((I777-H777)*24)&gt;INDEX(Dim_ServiceType!$E$2:$E$16,MATCH(E777,Dim_ServiceType!$A$2:$A$16,0)),"Yes","No"))</f>
        <v>Yes</v>
      </c>
      <c r="P777" s="7" t="str">
        <f t="shared" si="51"/>
        <v>Closed</v>
      </c>
      <c r="Q777" s="6">
        <v>4</v>
      </c>
      <c r="R777" s="7" t="s">
        <v>193</v>
      </c>
    </row>
    <row r="778" spans="1:18" x14ac:dyDescent="0.35">
      <c r="A778" s="6">
        <v>777</v>
      </c>
      <c r="B778" s="7" t="s">
        <v>974</v>
      </c>
      <c r="C778" s="6">
        <v>4</v>
      </c>
      <c r="D778" s="6">
        <v>7</v>
      </c>
      <c r="E778" s="6">
        <v>6</v>
      </c>
      <c r="F778" s="6">
        <v>4</v>
      </c>
      <c r="G778" s="9">
        <v>45729.306828703702</v>
      </c>
      <c r="H778" s="9">
        <v>45730.056828703702</v>
      </c>
      <c r="I778" s="9">
        <v>45732.265162037002</v>
      </c>
      <c r="J778" s="9">
        <v>45732.431828703702</v>
      </c>
      <c r="K778" s="7" t="s">
        <v>195</v>
      </c>
      <c r="L778" s="10">
        <f t="shared" si="48"/>
        <v>18</v>
      </c>
      <c r="M778" s="10">
        <f t="shared" si="49"/>
        <v>52.999999999185093</v>
      </c>
      <c r="N778" s="10">
        <f t="shared" si="50"/>
        <v>75</v>
      </c>
      <c r="O778" s="7" t="str">
        <f>IF(ISBLANK(I778),"N/A",IF(((I778-H778)*24)&gt;INDEX(Dim_ServiceType!$E$2:$E$16,MATCH(E778,Dim_ServiceType!$A$2:$A$16,0)),"Yes","No"))</f>
        <v>Yes</v>
      </c>
      <c r="P778" s="7" t="str">
        <f t="shared" si="51"/>
        <v>Closed</v>
      </c>
      <c r="Q778" s="6">
        <v>5</v>
      </c>
      <c r="R778" s="7" t="s">
        <v>196</v>
      </c>
    </row>
    <row r="779" spans="1:18" x14ac:dyDescent="0.35">
      <c r="A779" s="6">
        <v>778</v>
      </c>
      <c r="B779" s="7" t="s">
        <v>975</v>
      </c>
      <c r="C779" s="6">
        <v>12</v>
      </c>
      <c r="D779" s="6">
        <v>14</v>
      </c>
      <c r="E779" s="6">
        <v>5</v>
      </c>
      <c r="F779" s="6">
        <v>12</v>
      </c>
      <c r="G779" s="9">
        <v>45763.212986111103</v>
      </c>
      <c r="H779" s="9">
        <v>45763.254652777803</v>
      </c>
      <c r="I779" s="9">
        <v>45763.4129861111</v>
      </c>
      <c r="J779" s="9">
        <v>45763.496319444399</v>
      </c>
      <c r="K779" s="7" t="s">
        <v>198</v>
      </c>
      <c r="L779" s="10">
        <f t="shared" si="48"/>
        <v>1.0000000008149073</v>
      </c>
      <c r="M779" s="10">
        <f t="shared" si="49"/>
        <v>3.7999999991152436</v>
      </c>
      <c r="N779" s="10">
        <f t="shared" si="50"/>
        <v>6.7999999991152436</v>
      </c>
      <c r="O779" s="7" t="str">
        <f>IF(ISBLANK(I779),"N/A",IF(((I779-H779)*24)&gt;INDEX(Dim_ServiceType!$E$2:$E$16,MATCH(E779,Dim_ServiceType!$A$2:$A$16,0)),"Yes","No"))</f>
        <v>No</v>
      </c>
      <c r="P779" s="7" t="str">
        <f t="shared" si="51"/>
        <v>Closed</v>
      </c>
      <c r="Q779" s="6">
        <v>3</v>
      </c>
      <c r="R779" s="7" t="s">
        <v>196</v>
      </c>
    </row>
    <row r="780" spans="1:18" x14ac:dyDescent="0.35">
      <c r="A780" s="6">
        <v>779</v>
      </c>
      <c r="B780" s="7" t="s">
        <v>976</v>
      </c>
      <c r="C780" s="6">
        <v>4</v>
      </c>
      <c r="D780" s="6">
        <v>4</v>
      </c>
      <c r="E780" s="6">
        <v>3</v>
      </c>
      <c r="F780" s="6">
        <v>8</v>
      </c>
      <c r="G780" s="9">
        <v>45950.359293981499</v>
      </c>
      <c r="H780" s="9">
        <v>45950.859293981499</v>
      </c>
      <c r="I780" s="9">
        <v>45951.050960648201</v>
      </c>
      <c r="J780" s="9">
        <v>45951.0717939815</v>
      </c>
      <c r="K780" s="7" t="s">
        <v>195</v>
      </c>
      <c r="L780" s="10">
        <f t="shared" si="48"/>
        <v>12</v>
      </c>
      <c r="M780" s="10">
        <f t="shared" si="49"/>
        <v>4.6000000008498318</v>
      </c>
      <c r="N780" s="10">
        <f t="shared" si="50"/>
        <v>17.100000000034925</v>
      </c>
      <c r="O780" s="7" t="str">
        <f>IF(ISBLANK(I780),"N/A",IF(((I780-H780)*24)&gt;INDEX(Dim_ServiceType!$E$2:$E$16,MATCH(E780,Dim_ServiceType!$A$2:$A$16,0)),"Yes","No"))</f>
        <v>No</v>
      </c>
      <c r="P780" s="7" t="str">
        <f t="shared" si="51"/>
        <v>Closed</v>
      </c>
      <c r="Q780" s="6">
        <v>3</v>
      </c>
      <c r="R780" s="7" t="s">
        <v>193</v>
      </c>
    </row>
    <row r="781" spans="1:18" x14ac:dyDescent="0.35">
      <c r="A781" s="6">
        <v>780</v>
      </c>
      <c r="B781" s="7" t="s">
        <v>977</v>
      </c>
      <c r="C781" s="6">
        <v>5</v>
      </c>
      <c r="D781" s="6">
        <v>5</v>
      </c>
      <c r="E781" s="6">
        <v>15</v>
      </c>
      <c r="F781" s="6">
        <v>6</v>
      </c>
      <c r="G781" s="9">
        <v>45871.621215277803</v>
      </c>
      <c r="H781" s="9">
        <v>45872.371215277803</v>
      </c>
      <c r="I781" s="9"/>
      <c r="J781" s="9"/>
      <c r="K781" s="7" t="s">
        <v>192</v>
      </c>
      <c r="L781" s="10">
        <f t="shared" si="48"/>
        <v>18</v>
      </c>
      <c r="M781" s="10" t="str">
        <f t="shared" si="49"/>
        <v/>
      </c>
      <c r="N781" s="10" t="str">
        <f t="shared" si="50"/>
        <v/>
      </c>
      <c r="O781" s="7" t="str">
        <f>IF(ISBLANK(I781),"N/A",IF(((I781-H781)*24)&gt;INDEX(Dim_ServiceType!$E$2:$E$16,MATCH(E781,Dim_ServiceType!$A$2:$A$16,0)),"Yes","No"))</f>
        <v>N/A</v>
      </c>
      <c r="P781" s="7" t="str">
        <f t="shared" si="51"/>
        <v>In Progress</v>
      </c>
      <c r="Q781" s="6"/>
      <c r="R781" s="7"/>
    </row>
    <row r="782" spans="1:18" x14ac:dyDescent="0.35">
      <c r="A782" s="6">
        <v>781</v>
      </c>
      <c r="B782" s="7" t="s">
        <v>978</v>
      </c>
      <c r="C782" s="6">
        <v>1</v>
      </c>
      <c r="D782" s="6">
        <v>9</v>
      </c>
      <c r="E782" s="6">
        <v>4</v>
      </c>
      <c r="F782" s="6">
        <v>6</v>
      </c>
      <c r="G782" s="9">
        <v>45747.810960648101</v>
      </c>
      <c r="H782" s="9">
        <v>45748.310960648101</v>
      </c>
      <c r="I782" s="9">
        <v>45749.248460648101</v>
      </c>
      <c r="J782" s="9">
        <v>45750.248460648101</v>
      </c>
      <c r="K782" s="7" t="s">
        <v>195</v>
      </c>
      <c r="L782" s="10">
        <f t="shared" si="48"/>
        <v>12</v>
      </c>
      <c r="M782" s="10">
        <f t="shared" si="49"/>
        <v>22.5</v>
      </c>
      <c r="N782" s="10">
        <f t="shared" si="50"/>
        <v>58.5</v>
      </c>
      <c r="O782" s="7" t="str">
        <f>IF(ISBLANK(I782),"N/A",IF(((I782-H782)*24)&gt;INDEX(Dim_ServiceType!$E$2:$E$16,MATCH(E782,Dim_ServiceType!$A$2:$A$16,0)),"Yes","No"))</f>
        <v>No</v>
      </c>
      <c r="P782" s="7" t="str">
        <f t="shared" si="51"/>
        <v>Closed</v>
      </c>
      <c r="Q782" s="6">
        <v>5</v>
      </c>
      <c r="R782" s="7" t="s">
        <v>196</v>
      </c>
    </row>
    <row r="783" spans="1:18" x14ac:dyDescent="0.35">
      <c r="A783" s="6">
        <v>782</v>
      </c>
      <c r="B783" s="7" t="s">
        <v>979</v>
      </c>
      <c r="C783" s="6">
        <v>6</v>
      </c>
      <c r="D783" s="6">
        <v>15</v>
      </c>
      <c r="E783" s="6">
        <v>4</v>
      </c>
      <c r="F783" s="6">
        <v>2</v>
      </c>
      <c r="G783" s="9">
        <v>45979.4916435185</v>
      </c>
      <c r="H783" s="9">
        <v>45980.2416435185</v>
      </c>
      <c r="I783" s="9">
        <v>45981.0708101852</v>
      </c>
      <c r="J783" s="9">
        <v>45981.091643518499</v>
      </c>
      <c r="K783" s="7" t="s">
        <v>192</v>
      </c>
      <c r="L783" s="10">
        <f t="shared" si="48"/>
        <v>18</v>
      </c>
      <c r="M783" s="10">
        <f t="shared" si="49"/>
        <v>19.900000000779983</v>
      </c>
      <c r="N783" s="10">
        <f t="shared" si="50"/>
        <v>38.399999999965075</v>
      </c>
      <c r="O783" s="7" t="str">
        <f>IF(ISBLANK(I783),"N/A",IF(((I783-H783)*24)&gt;INDEX(Dim_ServiceType!$E$2:$E$16,MATCH(E783,Dim_ServiceType!$A$2:$A$16,0)),"Yes","No"))</f>
        <v>No</v>
      </c>
      <c r="P783" s="7" t="str">
        <f t="shared" si="51"/>
        <v>Closed</v>
      </c>
      <c r="Q783" s="6">
        <v>3</v>
      </c>
      <c r="R783" s="7" t="s">
        <v>196</v>
      </c>
    </row>
    <row r="784" spans="1:18" x14ac:dyDescent="0.35">
      <c r="A784" s="6">
        <v>783</v>
      </c>
      <c r="B784" s="7" t="s">
        <v>980</v>
      </c>
      <c r="C784" s="6">
        <v>14</v>
      </c>
      <c r="D784" s="6">
        <v>8</v>
      </c>
      <c r="E784" s="6">
        <v>15</v>
      </c>
      <c r="F784" s="6">
        <v>11</v>
      </c>
      <c r="G784" s="9">
        <v>45821.478553240697</v>
      </c>
      <c r="H784" s="9">
        <v>45821.645219907397</v>
      </c>
      <c r="I784" s="9">
        <v>45822.261886574102</v>
      </c>
      <c r="J784" s="9">
        <v>45822.345219907402</v>
      </c>
      <c r="K784" s="7" t="s">
        <v>192</v>
      </c>
      <c r="L784" s="10">
        <f t="shared" si="48"/>
        <v>4.0000000008149073</v>
      </c>
      <c r="M784" s="10">
        <f t="shared" si="49"/>
        <v>14.800000000919681</v>
      </c>
      <c r="N784" s="10">
        <f t="shared" si="50"/>
        <v>20.800000000919681</v>
      </c>
      <c r="O784" s="7" t="str">
        <f>IF(ISBLANK(I784),"N/A",IF(((I784-H784)*24)&gt;INDEX(Dim_ServiceType!$E$2:$E$16,MATCH(E784,Dim_ServiceType!$A$2:$A$16,0)),"Yes","No"))</f>
        <v>No</v>
      </c>
      <c r="P784" s="7" t="str">
        <f t="shared" si="51"/>
        <v>Closed</v>
      </c>
      <c r="Q784" s="6">
        <v>3</v>
      </c>
      <c r="R784" s="7" t="s">
        <v>196</v>
      </c>
    </row>
    <row r="785" spans="1:18" x14ac:dyDescent="0.35">
      <c r="A785" s="6">
        <v>784</v>
      </c>
      <c r="B785" s="7" t="s">
        <v>981</v>
      </c>
      <c r="C785" s="6">
        <v>3</v>
      </c>
      <c r="D785" s="6">
        <v>4</v>
      </c>
      <c r="E785" s="6">
        <v>12</v>
      </c>
      <c r="F785" s="6">
        <v>2</v>
      </c>
      <c r="G785" s="9">
        <v>45992.265902777799</v>
      </c>
      <c r="H785" s="9"/>
      <c r="I785" s="9"/>
      <c r="J785" s="9"/>
      <c r="K785" s="7" t="s">
        <v>200</v>
      </c>
      <c r="L785" s="10" t="str">
        <f t="shared" si="48"/>
        <v/>
      </c>
      <c r="M785" s="10" t="str">
        <f t="shared" si="49"/>
        <v/>
      </c>
      <c r="N785" s="10" t="str">
        <f t="shared" si="50"/>
        <v/>
      </c>
      <c r="O785" s="7" t="str">
        <f>IF(ISBLANK(I785),"N/A",IF(((I785-H785)*24)&gt;INDEX(Dim_ServiceType!$E$2:$E$16,MATCH(E785,Dim_ServiceType!$A$2:$A$16,0)),"Yes","No"))</f>
        <v>N/A</v>
      </c>
      <c r="P785" s="7" t="str">
        <f t="shared" si="51"/>
        <v>Open (Unassigned)</v>
      </c>
      <c r="Q785" s="6"/>
      <c r="R785" s="7"/>
    </row>
    <row r="786" spans="1:18" x14ac:dyDescent="0.35">
      <c r="A786" s="6">
        <v>785</v>
      </c>
      <c r="B786" s="7" t="s">
        <v>982</v>
      </c>
      <c r="C786" s="6">
        <v>6</v>
      </c>
      <c r="D786" s="6">
        <v>13</v>
      </c>
      <c r="E786" s="6">
        <v>4</v>
      </c>
      <c r="F786" s="6">
        <v>7</v>
      </c>
      <c r="G786" s="9">
        <v>45769.485891203702</v>
      </c>
      <c r="H786" s="9">
        <v>45770.235891203702</v>
      </c>
      <c r="I786" s="9">
        <v>45771.127557870401</v>
      </c>
      <c r="J786" s="9">
        <v>45771.294224537</v>
      </c>
      <c r="K786" s="7" t="s">
        <v>200</v>
      </c>
      <c r="L786" s="10">
        <f t="shared" si="48"/>
        <v>18</v>
      </c>
      <c r="M786" s="10">
        <f t="shared" si="49"/>
        <v>21.400000000779983</v>
      </c>
      <c r="N786" s="10">
        <f t="shared" si="50"/>
        <v>43.399999999150168</v>
      </c>
      <c r="O786" s="7" t="str">
        <f>IF(ISBLANK(I786),"N/A",IF(((I786-H786)*24)&gt;INDEX(Dim_ServiceType!$E$2:$E$16,MATCH(E786,Dim_ServiceType!$A$2:$A$16,0)),"Yes","No"))</f>
        <v>No</v>
      </c>
      <c r="P786" s="7" t="str">
        <f t="shared" si="51"/>
        <v>Closed</v>
      </c>
      <c r="Q786" s="6">
        <v>1</v>
      </c>
      <c r="R786" s="7" t="s">
        <v>196</v>
      </c>
    </row>
    <row r="787" spans="1:18" x14ac:dyDescent="0.35">
      <c r="A787" s="6">
        <v>786</v>
      </c>
      <c r="B787" s="7" t="s">
        <v>983</v>
      </c>
      <c r="C787" s="6">
        <v>2</v>
      </c>
      <c r="D787" s="6">
        <v>14</v>
      </c>
      <c r="E787" s="6">
        <v>13</v>
      </c>
      <c r="F787" s="6">
        <v>5</v>
      </c>
      <c r="G787" s="9">
        <v>45880.694699074098</v>
      </c>
      <c r="H787" s="9">
        <v>45880.944699074098</v>
      </c>
      <c r="I787" s="9">
        <v>45881.628032407403</v>
      </c>
      <c r="J787" s="9">
        <v>45882.128032407403</v>
      </c>
      <c r="K787" s="7" t="s">
        <v>198</v>
      </c>
      <c r="L787" s="10">
        <f t="shared" si="48"/>
        <v>6</v>
      </c>
      <c r="M787" s="10">
        <f t="shared" si="49"/>
        <v>16.399999999324791</v>
      </c>
      <c r="N787" s="10">
        <f t="shared" si="50"/>
        <v>34.399999999324791</v>
      </c>
      <c r="O787" s="7" t="str">
        <f>IF(ISBLANK(I787),"N/A",IF(((I787-H787)*24)&gt;INDEX(Dim_ServiceType!$E$2:$E$16,MATCH(E787,Dim_ServiceType!$A$2:$A$16,0)),"Yes","No"))</f>
        <v>No</v>
      </c>
      <c r="P787" s="7" t="str">
        <f t="shared" si="51"/>
        <v>Closed</v>
      </c>
      <c r="Q787" s="6">
        <v>4</v>
      </c>
      <c r="R787" s="7" t="s">
        <v>196</v>
      </c>
    </row>
    <row r="788" spans="1:18" x14ac:dyDescent="0.35">
      <c r="A788" s="6">
        <v>787</v>
      </c>
      <c r="B788" s="7" t="s">
        <v>984</v>
      </c>
      <c r="C788" s="6">
        <v>15</v>
      </c>
      <c r="D788" s="6">
        <v>3</v>
      </c>
      <c r="E788" s="6">
        <v>12</v>
      </c>
      <c r="F788" s="6">
        <v>11</v>
      </c>
      <c r="G788" s="9">
        <v>45813.112974536998</v>
      </c>
      <c r="H788" s="9">
        <v>45813.279641203699</v>
      </c>
      <c r="I788" s="9">
        <v>45813.833807870396</v>
      </c>
      <c r="J788" s="9">
        <v>45814.833807870396</v>
      </c>
      <c r="K788" s="7" t="s">
        <v>207</v>
      </c>
      <c r="L788" s="10">
        <f t="shared" si="48"/>
        <v>4.0000000008149073</v>
      </c>
      <c r="M788" s="10">
        <f t="shared" si="49"/>
        <v>13.300000000745058</v>
      </c>
      <c r="N788" s="10">
        <f t="shared" si="50"/>
        <v>41.300000001559965</v>
      </c>
      <c r="O788" s="7" t="str">
        <f>IF(ISBLANK(I788),"N/A",IF(((I788-H788)*24)&gt;INDEX(Dim_ServiceType!$E$2:$E$16,MATCH(E788,Dim_ServiceType!$A$2:$A$16,0)),"Yes","No"))</f>
        <v>No</v>
      </c>
      <c r="P788" s="7" t="str">
        <f t="shared" si="51"/>
        <v>Closed</v>
      </c>
      <c r="Q788" s="6">
        <v>5</v>
      </c>
      <c r="R788" s="7" t="s">
        <v>193</v>
      </c>
    </row>
    <row r="789" spans="1:18" x14ac:dyDescent="0.35">
      <c r="A789" s="6">
        <v>788</v>
      </c>
      <c r="B789" s="7" t="s">
        <v>985</v>
      </c>
      <c r="C789" s="6">
        <v>9</v>
      </c>
      <c r="D789" s="6">
        <v>2</v>
      </c>
      <c r="E789" s="6">
        <v>11</v>
      </c>
      <c r="F789" s="6">
        <v>2</v>
      </c>
      <c r="G789" s="9">
        <v>45763.2558796296</v>
      </c>
      <c r="H789" s="9">
        <v>45763.5058796296</v>
      </c>
      <c r="I789" s="9">
        <v>45763.668379629598</v>
      </c>
      <c r="J789" s="9">
        <v>45763.689212963</v>
      </c>
      <c r="K789" s="7" t="s">
        <v>198</v>
      </c>
      <c r="L789" s="10">
        <f t="shared" si="48"/>
        <v>6</v>
      </c>
      <c r="M789" s="10">
        <f t="shared" si="49"/>
        <v>3.8999999999650754</v>
      </c>
      <c r="N789" s="10">
        <f t="shared" si="50"/>
        <v>10.40000000159489</v>
      </c>
      <c r="O789" s="7" t="str">
        <f>IF(ISBLANK(I789),"N/A",IF(((I789-H789)*24)&gt;INDEX(Dim_ServiceType!$E$2:$E$16,MATCH(E789,Dim_ServiceType!$A$2:$A$16,0)),"Yes","No"))</f>
        <v>No</v>
      </c>
      <c r="P789" s="7" t="str">
        <f t="shared" si="51"/>
        <v>Closed</v>
      </c>
      <c r="Q789" s="6">
        <v>4</v>
      </c>
      <c r="R789" s="7" t="s">
        <v>193</v>
      </c>
    </row>
    <row r="790" spans="1:18" x14ac:dyDescent="0.35">
      <c r="A790" s="6">
        <v>789</v>
      </c>
      <c r="B790" s="7" t="s">
        <v>986</v>
      </c>
      <c r="C790" s="6">
        <v>12</v>
      </c>
      <c r="D790" s="6">
        <v>10</v>
      </c>
      <c r="E790" s="6">
        <v>6</v>
      </c>
      <c r="F790" s="6">
        <v>2</v>
      </c>
      <c r="G790" s="9">
        <v>45721.343009259297</v>
      </c>
      <c r="H790" s="9">
        <v>45721.468009259297</v>
      </c>
      <c r="I790" s="9">
        <v>45723.234675925902</v>
      </c>
      <c r="J790" s="9">
        <v>45723.318009259303</v>
      </c>
      <c r="K790" s="7" t="s">
        <v>195</v>
      </c>
      <c r="L790" s="10">
        <f t="shared" si="48"/>
        <v>3</v>
      </c>
      <c r="M790" s="10">
        <f t="shared" si="49"/>
        <v>42.399999998509884</v>
      </c>
      <c r="N790" s="10">
        <f t="shared" si="50"/>
        <v>47.400000000139698</v>
      </c>
      <c r="O790" s="7" t="str">
        <f>IF(ISBLANK(I790),"N/A",IF(((I790-H790)*24)&gt;INDEX(Dim_ServiceType!$E$2:$E$16,MATCH(E790,Dim_ServiceType!$A$2:$A$16,0)),"Yes","No"))</f>
        <v>No</v>
      </c>
      <c r="P790" s="7" t="str">
        <f t="shared" si="51"/>
        <v>Closed</v>
      </c>
      <c r="Q790" s="6">
        <v>3</v>
      </c>
      <c r="R790" s="7" t="s">
        <v>196</v>
      </c>
    </row>
    <row r="791" spans="1:18" x14ac:dyDescent="0.35">
      <c r="A791" s="6">
        <v>790</v>
      </c>
      <c r="B791" s="7" t="s">
        <v>987</v>
      </c>
      <c r="C791" s="6">
        <v>14</v>
      </c>
      <c r="D791" s="6">
        <v>11</v>
      </c>
      <c r="E791" s="6">
        <v>8</v>
      </c>
      <c r="F791" s="6">
        <v>3</v>
      </c>
      <c r="G791" s="9">
        <v>45931.004409722198</v>
      </c>
      <c r="H791" s="9">
        <v>45931.504409722198</v>
      </c>
      <c r="I791" s="9">
        <v>45931.812743055598</v>
      </c>
      <c r="J791" s="9">
        <v>45931.833576388897</v>
      </c>
      <c r="K791" s="7" t="s">
        <v>200</v>
      </c>
      <c r="L791" s="10">
        <f t="shared" si="48"/>
        <v>12</v>
      </c>
      <c r="M791" s="10">
        <f t="shared" si="49"/>
        <v>7.4000000015948899</v>
      </c>
      <c r="N791" s="10">
        <f t="shared" si="50"/>
        <v>19.900000000779983</v>
      </c>
      <c r="O791" s="7" t="str">
        <f>IF(ISBLANK(I791),"N/A",IF(((I791-H791)*24)&gt;INDEX(Dim_ServiceType!$E$2:$E$16,MATCH(E791,Dim_ServiceType!$A$2:$A$16,0)),"Yes","No"))</f>
        <v>Yes</v>
      </c>
      <c r="P791" s="7" t="str">
        <f t="shared" si="51"/>
        <v>Closed</v>
      </c>
      <c r="Q791" s="6">
        <v>4</v>
      </c>
      <c r="R791" s="7" t="s">
        <v>196</v>
      </c>
    </row>
    <row r="792" spans="1:18" x14ac:dyDescent="0.35">
      <c r="A792" s="6">
        <v>791</v>
      </c>
      <c r="B792" s="7" t="s">
        <v>988</v>
      </c>
      <c r="C792" s="6">
        <v>15</v>
      </c>
      <c r="D792" s="6">
        <v>4</v>
      </c>
      <c r="E792" s="6">
        <v>14</v>
      </c>
      <c r="F792" s="6">
        <v>7</v>
      </c>
      <c r="G792" s="9">
        <v>45806.566944444399</v>
      </c>
      <c r="H792" s="9">
        <v>45807.316944444399</v>
      </c>
      <c r="I792" s="9"/>
      <c r="J792" s="9"/>
      <c r="K792" s="7" t="s">
        <v>207</v>
      </c>
      <c r="L792" s="10">
        <f t="shared" si="48"/>
        <v>18</v>
      </c>
      <c r="M792" s="10" t="str">
        <f t="shared" si="49"/>
        <v/>
      </c>
      <c r="N792" s="10" t="str">
        <f t="shared" si="50"/>
        <v/>
      </c>
      <c r="O792" s="7" t="str">
        <f>IF(ISBLANK(I792),"N/A",IF(((I792-H792)*24)&gt;INDEX(Dim_ServiceType!$E$2:$E$16,MATCH(E792,Dim_ServiceType!$A$2:$A$16,0)),"Yes","No"))</f>
        <v>N/A</v>
      </c>
      <c r="P792" s="7" t="str">
        <f t="shared" si="51"/>
        <v>In Progress</v>
      </c>
      <c r="Q792" s="6"/>
      <c r="R792" s="7"/>
    </row>
    <row r="793" spans="1:18" x14ac:dyDescent="0.35">
      <c r="A793" s="6">
        <v>792</v>
      </c>
      <c r="B793" s="7" t="s">
        <v>989</v>
      </c>
      <c r="C793" s="6">
        <v>12</v>
      </c>
      <c r="D793" s="6">
        <v>8</v>
      </c>
      <c r="E793" s="6">
        <v>5</v>
      </c>
      <c r="F793" s="6">
        <v>13</v>
      </c>
      <c r="G793" s="9">
        <v>45752.6469097222</v>
      </c>
      <c r="H793" s="9">
        <v>45752.667743055601</v>
      </c>
      <c r="I793" s="9"/>
      <c r="J793" s="9"/>
      <c r="K793" s="7" t="s">
        <v>192</v>
      </c>
      <c r="L793" s="10">
        <f t="shared" si="48"/>
        <v>0.50000000162981451</v>
      </c>
      <c r="M793" s="10" t="str">
        <f t="shared" si="49"/>
        <v/>
      </c>
      <c r="N793" s="10" t="str">
        <f t="shared" si="50"/>
        <v/>
      </c>
      <c r="O793" s="7" t="str">
        <f>IF(ISBLANK(I793),"N/A",IF(((I793-H793)*24)&gt;INDEX(Dim_ServiceType!$E$2:$E$16,MATCH(E793,Dim_ServiceType!$A$2:$A$16,0)),"Yes","No"))</f>
        <v>N/A</v>
      </c>
      <c r="P793" s="7" t="str">
        <f t="shared" si="51"/>
        <v>In Progress</v>
      </c>
      <c r="Q793" s="6"/>
      <c r="R793" s="7"/>
    </row>
    <row r="794" spans="1:18" x14ac:dyDescent="0.35">
      <c r="A794" s="6">
        <v>793</v>
      </c>
      <c r="B794" s="7" t="s">
        <v>990</v>
      </c>
      <c r="C794" s="6">
        <v>8</v>
      </c>
      <c r="D794" s="6">
        <v>8</v>
      </c>
      <c r="E794" s="6">
        <v>9</v>
      </c>
      <c r="F794" s="6">
        <v>14</v>
      </c>
      <c r="G794" s="9">
        <v>45993.394293981502</v>
      </c>
      <c r="H794" s="9">
        <v>45993.477627314802</v>
      </c>
      <c r="I794" s="9">
        <v>45994.7817939815</v>
      </c>
      <c r="J794" s="9">
        <v>45994.9484606482</v>
      </c>
      <c r="K794" s="7" t="s">
        <v>198</v>
      </c>
      <c r="L794" s="10">
        <f t="shared" si="48"/>
        <v>1.9999999991850927</v>
      </c>
      <c r="M794" s="10">
        <f t="shared" si="49"/>
        <v>31.300000000745058</v>
      </c>
      <c r="N794" s="10">
        <f t="shared" si="50"/>
        <v>37.300000000745058</v>
      </c>
      <c r="O794" s="7" t="str">
        <f>IF(ISBLANK(I794),"N/A",IF(((I794-H794)*24)&gt;INDEX(Dim_ServiceType!$E$2:$E$16,MATCH(E794,Dim_ServiceType!$A$2:$A$16,0)),"Yes","No"))</f>
        <v>No</v>
      </c>
      <c r="P794" s="7" t="str">
        <f t="shared" si="51"/>
        <v>Closed</v>
      </c>
      <c r="Q794" s="6">
        <v>2</v>
      </c>
      <c r="R794" s="7" t="s">
        <v>196</v>
      </c>
    </row>
    <row r="795" spans="1:18" x14ac:dyDescent="0.35">
      <c r="A795" s="6">
        <v>794</v>
      </c>
      <c r="B795" s="7" t="s">
        <v>991</v>
      </c>
      <c r="C795" s="6">
        <v>11</v>
      </c>
      <c r="D795" s="6">
        <v>8</v>
      </c>
      <c r="E795" s="6">
        <v>5</v>
      </c>
      <c r="F795" s="6">
        <v>15</v>
      </c>
      <c r="G795" s="9">
        <v>45971.030462962997</v>
      </c>
      <c r="H795" s="9">
        <v>45971.363796296297</v>
      </c>
      <c r="I795" s="9">
        <v>45971.8512962963</v>
      </c>
      <c r="J795" s="9">
        <v>45971.872129629599</v>
      </c>
      <c r="K795" s="7" t="s">
        <v>207</v>
      </c>
      <c r="L795" s="10">
        <f t="shared" si="48"/>
        <v>7.9999999991850927</v>
      </c>
      <c r="M795" s="10">
        <f t="shared" si="49"/>
        <v>11.700000000069849</v>
      </c>
      <c r="N795" s="10">
        <f t="shared" si="50"/>
        <v>20.199999998440035</v>
      </c>
      <c r="O795" s="7" t="str">
        <f>IF(ISBLANK(I795),"N/A",IF(((I795-H795)*24)&gt;INDEX(Dim_ServiceType!$E$2:$E$16,MATCH(E795,Dim_ServiceType!$A$2:$A$16,0)),"Yes","No"))</f>
        <v>No</v>
      </c>
      <c r="P795" s="7" t="str">
        <f t="shared" si="51"/>
        <v>Closed</v>
      </c>
      <c r="Q795" s="6">
        <v>4</v>
      </c>
      <c r="R795" s="7" t="s">
        <v>196</v>
      </c>
    </row>
    <row r="796" spans="1:18" x14ac:dyDescent="0.35">
      <c r="A796" s="6">
        <v>795</v>
      </c>
      <c r="B796" s="7" t="s">
        <v>992</v>
      </c>
      <c r="C796" s="6">
        <v>1</v>
      </c>
      <c r="D796" s="6">
        <v>2</v>
      </c>
      <c r="E796" s="6">
        <v>14</v>
      </c>
      <c r="F796" s="6">
        <v>1</v>
      </c>
      <c r="G796" s="9">
        <v>45697.775127314802</v>
      </c>
      <c r="H796" s="9">
        <v>45698.025127314802</v>
      </c>
      <c r="I796" s="9">
        <v>45698.220960648199</v>
      </c>
      <c r="J796" s="9">
        <v>45698.470960648199</v>
      </c>
      <c r="K796" s="7" t="s">
        <v>198</v>
      </c>
      <c r="L796" s="10">
        <f t="shared" si="48"/>
        <v>6</v>
      </c>
      <c r="M796" s="10">
        <f t="shared" si="49"/>
        <v>4.7000000015250407</v>
      </c>
      <c r="N796" s="10">
        <f t="shared" si="50"/>
        <v>16.700000001525041</v>
      </c>
      <c r="O796" s="7" t="str">
        <f>IF(ISBLANK(I796),"N/A",IF(((I796-H796)*24)&gt;INDEX(Dim_ServiceType!$E$2:$E$16,MATCH(E796,Dim_ServiceType!$A$2:$A$16,0)),"Yes","No"))</f>
        <v>No</v>
      </c>
      <c r="P796" s="7" t="str">
        <f t="shared" si="51"/>
        <v>Closed</v>
      </c>
      <c r="Q796" s="6">
        <v>5</v>
      </c>
      <c r="R796" s="7" t="s">
        <v>196</v>
      </c>
    </row>
    <row r="797" spans="1:18" x14ac:dyDescent="0.35">
      <c r="A797" s="6">
        <v>796</v>
      </c>
      <c r="B797" s="7" t="s">
        <v>993</v>
      </c>
      <c r="C797" s="6">
        <v>5</v>
      </c>
      <c r="D797" s="6">
        <v>5</v>
      </c>
      <c r="E797" s="6">
        <v>7</v>
      </c>
      <c r="F797" s="6">
        <v>13</v>
      </c>
      <c r="G797" s="9">
        <v>45994.4831134259</v>
      </c>
      <c r="H797" s="9">
        <v>45994.649780092601</v>
      </c>
      <c r="I797" s="9">
        <v>45995.708113425899</v>
      </c>
      <c r="J797" s="9">
        <v>45995.7914467593</v>
      </c>
      <c r="K797" s="7" t="s">
        <v>192</v>
      </c>
      <c r="L797" s="10">
        <f t="shared" si="48"/>
        <v>4.0000000008149073</v>
      </c>
      <c r="M797" s="10">
        <f t="shared" si="49"/>
        <v>25.399999999150168</v>
      </c>
      <c r="N797" s="10">
        <f t="shared" si="50"/>
        <v>31.40000000159489</v>
      </c>
      <c r="O797" s="7" t="str">
        <f>IF(ISBLANK(I797),"N/A",IF(((I797-H797)*24)&gt;INDEX(Dim_ServiceType!$E$2:$E$16,MATCH(E797,Dim_ServiceType!$A$2:$A$16,0)),"Yes","No"))</f>
        <v>Yes</v>
      </c>
      <c r="P797" s="7" t="str">
        <f t="shared" si="51"/>
        <v>Closed</v>
      </c>
      <c r="Q797" s="6">
        <v>4</v>
      </c>
      <c r="R797" s="7" t="s">
        <v>196</v>
      </c>
    </row>
    <row r="798" spans="1:18" x14ac:dyDescent="0.35">
      <c r="A798" s="6">
        <v>797</v>
      </c>
      <c r="B798" s="7" t="s">
        <v>994</v>
      </c>
      <c r="C798" s="6">
        <v>3</v>
      </c>
      <c r="D798" s="6">
        <v>6</v>
      </c>
      <c r="E798" s="6">
        <v>11</v>
      </c>
      <c r="F798" s="6">
        <v>6</v>
      </c>
      <c r="G798" s="9">
        <v>45685.144247685203</v>
      </c>
      <c r="H798" s="9">
        <v>45685.185914351903</v>
      </c>
      <c r="I798" s="9">
        <v>45685.831747685203</v>
      </c>
      <c r="J798" s="9">
        <v>45685.873414351903</v>
      </c>
      <c r="K798" s="7" t="s">
        <v>198</v>
      </c>
      <c r="L798" s="10">
        <f t="shared" si="48"/>
        <v>1.0000000008149073</v>
      </c>
      <c r="M798" s="10">
        <f t="shared" si="49"/>
        <v>15.499999999185093</v>
      </c>
      <c r="N798" s="10">
        <f t="shared" si="50"/>
        <v>17.500000000814907</v>
      </c>
      <c r="O798" s="7" t="str">
        <f>IF(ISBLANK(I798),"N/A",IF(((I798-H798)*24)&gt;INDEX(Dim_ServiceType!$E$2:$E$16,MATCH(E798,Dim_ServiceType!$A$2:$A$16,0)),"Yes","No"))</f>
        <v>Yes</v>
      </c>
      <c r="P798" s="7" t="str">
        <f t="shared" si="51"/>
        <v>Closed</v>
      </c>
      <c r="Q798" s="6">
        <v>4</v>
      </c>
      <c r="R798" s="7" t="s">
        <v>196</v>
      </c>
    </row>
    <row r="799" spans="1:18" x14ac:dyDescent="0.35">
      <c r="A799" s="6">
        <v>798</v>
      </c>
      <c r="B799" s="7" t="s">
        <v>995</v>
      </c>
      <c r="C799" s="6">
        <v>10</v>
      </c>
      <c r="D799" s="6">
        <v>11</v>
      </c>
      <c r="E799" s="6">
        <v>7</v>
      </c>
      <c r="F799" s="6">
        <v>7</v>
      </c>
      <c r="G799" s="9">
        <v>46006.143125000002</v>
      </c>
      <c r="H799" s="9"/>
      <c r="I799" s="9"/>
      <c r="J799" s="9"/>
      <c r="K799" s="7" t="s">
        <v>200</v>
      </c>
      <c r="L799" s="10" t="str">
        <f t="shared" si="48"/>
        <v/>
      </c>
      <c r="M799" s="10" t="str">
        <f t="shared" si="49"/>
        <v/>
      </c>
      <c r="N799" s="10" t="str">
        <f t="shared" si="50"/>
        <v/>
      </c>
      <c r="O799" s="7" t="str">
        <f>IF(ISBLANK(I799),"N/A",IF(((I799-H799)*24)&gt;INDEX(Dim_ServiceType!$E$2:$E$16,MATCH(E799,Dim_ServiceType!$A$2:$A$16,0)),"Yes","No"))</f>
        <v>N/A</v>
      </c>
      <c r="P799" s="7" t="str">
        <f t="shared" si="51"/>
        <v>Open (Unassigned)</v>
      </c>
      <c r="Q799" s="6"/>
      <c r="R799" s="7"/>
    </row>
    <row r="800" spans="1:18" x14ac:dyDescent="0.35">
      <c r="A800" s="6">
        <v>799</v>
      </c>
      <c r="B800" s="7" t="s">
        <v>996</v>
      </c>
      <c r="C800" s="6">
        <v>8</v>
      </c>
      <c r="D800" s="6">
        <v>14</v>
      </c>
      <c r="E800" s="6">
        <v>8</v>
      </c>
      <c r="F800" s="6">
        <v>3</v>
      </c>
      <c r="G800" s="9">
        <v>45770.863495370402</v>
      </c>
      <c r="H800" s="9">
        <v>45771.113495370402</v>
      </c>
      <c r="I800" s="9">
        <v>45771.396828703699</v>
      </c>
      <c r="J800" s="9">
        <v>45771.480162036998</v>
      </c>
      <c r="K800" s="7" t="s">
        <v>207</v>
      </c>
      <c r="L800" s="10">
        <f t="shared" si="48"/>
        <v>6</v>
      </c>
      <c r="M800" s="10">
        <f t="shared" si="49"/>
        <v>6.7999999991152436</v>
      </c>
      <c r="N800" s="10">
        <f t="shared" si="50"/>
        <v>14.799999998300336</v>
      </c>
      <c r="O800" s="7" t="str">
        <f>IF(ISBLANK(I800),"N/A",IF(((I800-H800)*24)&gt;INDEX(Dim_ServiceType!$E$2:$E$16,MATCH(E800,Dim_ServiceType!$A$2:$A$16,0)),"Yes","No"))</f>
        <v>Yes</v>
      </c>
      <c r="P800" s="7" t="str">
        <f t="shared" si="51"/>
        <v>Closed</v>
      </c>
      <c r="Q800" s="6">
        <v>1</v>
      </c>
      <c r="R800" s="7" t="s">
        <v>196</v>
      </c>
    </row>
    <row r="801" spans="1:18" x14ac:dyDescent="0.35">
      <c r="A801" s="6">
        <v>800</v>
      </c>
      <c r="B801" s="7" t="s">
        <v>997</v>
      </c>
      <c r="C801" s="6">
        <v>12</v>
      </c>
      <c r="D801" s="6">
        <v>2</v>
      </c>
      <c r="E801" s="6">
        <v>6</v>
      </c>
      <c r="F801" s="6">
        <v>1</v>
      </c>
      <c r="G801" s="9">
        <v>45921.361145833303</v>
      </c>
      <c r="H801" s="9">
        <v>45922.111145833303</v>
      </c>
      <c r="I801" s="9">
        <v>45924.219479166699</v>
      </c>
      <c r="J801" s="9">
        <v>45924.719479166699</v>
      </c>
      <c r="K801" s="7" t="s">
        <v>200</v>
      </c>
      <c r="L801" s="10">
        <f t="shared" si="48"/>
        <v>18</v>
      </c>
      <c r="M801" s="10">
        <f t="shared" si="49"/>
        <v>50.600000001490116</v>
      </c>
      <c r="N801" s="10">
        <f t="shared" si="50"/>
        <v>80.600000001490116</v>
      </c>
      <c r="O801" s="7" t="str">
        <f>IF(ISBLANK(I801),"N/A",IF(((I801-H801)*24)&gt;INDEX(Dim_ServiceType!$E$2:$E$16,MATCH(E801,Dim_ServiceType!$A$2:$A$16,0)),"Yes","No"))</f>
        <v>Yes</v>
      </c>
      <c r="P801" s="7" t="str">
        <f t="shared" si="51"/>
        <v>Closed</v>
      </c>
      <c r="Q801" s="6">
        <v>5</v>
      </c>
      <c r="R801" s="7" t="s">
        <v>196</v>
      </c>
    </row>
    <row r="802" spans="1:18" x14ac:dyDescent="0.35">
      <c r="A802" s="6">
        <v>801</v>
      </c>
      <c r="B802" s="7" t="s">
        <v>998</v>
      </c>
      <c r="C802" s="6">
        <v>10</v>
      </c>
      <c r="D802" s="6">
        <v>9</v>
      </c>
      <c r="E802" s="6">
        <v>10</v>
      </c>
      <c r="F802" s="6">
        <v>1</v>
      </c>
      <c r="G802" s="9">
        <v>45944.339652777802</v>
      </c>
      <c r="H802" s="9">
        <v>45944.839652777802</v>
      </c>
      <c r="I802" s="9">
        <v>45945.135486111103</v>
      </c>
      <c r="J802" s="9">
        <v>45945.302152777796</v>
      </c>
      <c r="K802" s="7" t="s">
        <v>192</v>
      </c>
      <c r="L802" s="10">
        <f t="shared" si="48"/>
        <v>12</v>
      </c>
      <c r="M802" s="10">
        <f t="shared" si="49"/>
        <v>7.0999999992200173</v>
      </c>
      <c r="N802" s="10">
        <f t="shared" si="50"/>
        <v>23.099999999860302</v>
      </c>
      <c r="O802" s="7" t="str">
        <f>IF(ISBLANK(I802),"N/A",IF(((I802-H802)*24)&gt;INDEX(Dim_ServiceType!$E$2:$E$16,MATCH(E802,Dim_ServiceType!$A$2:$A$16,0)),"Yes","No"))</f>
        <v>Yes</v>
      </c>
      <c r="P802" s="7" t="str">
        <f t="shared" si="51"/>
        <v>Closed</v>
      </c>
      <c r="Q802" s="6">
        <v>4</v>
      </c>
      <c r="R802" s="7" t="s">
        <v>196</v>
      </c>
    </row>
    <row r="803" spans="1:18" x14ac:dyDescent="0.35">
      <c r="A803" s="6">
        <v>802</v>
      </c>
      <c r="B803" s="7" t="s">
        <v>999</v>
      </c>
      <c r="C803" s="6">
        <v>13</v>
      </c>
      <c r="D803" s="6">
        <v>8</v>
      </c>
      <c r="E803" s="6">
        <v>7</v>
      </c>
      <c r="F803" s="6">
        <v>13</v>
      </c>
      <c r="G803" s="9">
        <v>45940.3883796296</v>
      </c>
      <c r="H803" s="9">
        <v>45940.4300462963</v>
      </c>
      <c r="I803" s="9">
        <v>45940.842546296299</v>
      </c>
      <c r="J803" s="9">
        <v>45940.884212962999</v>
      </c>
      <c r="K803" s="7" t="s">
        <v>195</v>
      </c>
      <c r="L803" s="10">
        <f t="shared" si="48"/>
        <v>1.0000000008149073</v>
      </c>
      <c r="M803" s="10">
        <f t="shared" si="49"/>
        <v>9.8999999999650754</v>
      </c>
      <c r="N803" s="10">
        <f t="shared" si="50"/>
        <v>11.90000000159489</v>
      </c>
      <c r="O803" s="7" t="str">
        <f>IF(ISBLANK(I803),"N/A",IF(((I803-H803)*24)&gt;INDEX(Dim_ServiceType!$E$2:$E$16,MATCH(E803,Dim_ServiceType!$A$2:$A$16,0)),"Yes","No"))</f>
        <v>No</v>
      </c>
      <c r="P803" s="7" t="str">
        <f t="shared" si="51"/>
        <v>Closed</v>
      </c>
      <c r="Q803" s="6">
        <v>5</v>
      </c>
      <c r="R803" s="7" t="s">
        <v>196</v>
      </c>
    </row>
    <row r="804" spans="1:18" x14ac:dyDescent="0.35">
      <c r="A804" s="6">
        <v>803</v>
      </c>
      <c r="B804" s="7" t="s">
        <v>1000</v>
      </c>
      <c r="C804" s="6">
        <v>7</v>
      </c>
      <c r="D804" s="6">
        <v>11</v>
      </c>
      <c r="E804" s="6">
        <v>6</v>
      </c>
      <c r="F804" s="6">
        <v>10</v>
      </c>
      <c r="G804" s="9">
        <v>45695.677638888897</v>
      </c>
      <c r="H804" s="9">
        <v>45696.177638888897</v>
      </c>
      <c r="I804" s="9">
        <v>45702.5401388889</v>
      </c>
      <c r="J804" s="9">
        <v>45702.7901388889</v>
      </c>
      <c r="K804" s="7" t="s">
        <v>207</v>
      </c>
      <c r="L804" s="10">
        <f t="shared" si="48"/>
        <v>12</v>
      </c>
      <c r="M804" s="10">
        <f t="shared" si="49"/>
        <v>152.70000000006985</v>
      </c>
      <c r="N804" s="10">
        <f t="shared" si="50"/>
        <v>170.70000000006985</v>
      </c>
      <c r="O804" s="7" t="str">
        <f>IF(ISBLANK(I804),"N/A",IF(((I804-H804)*24)&gt;INDEX(Dim_ServiceType!$E$2:$E$16,MATCH(E804,Dim_ServiceType!$A$2:$A$16,0)),"Yes","No"))</f>
        <v>Yes</v>
      </c>
      <c r="P804" s="7" t="str">
        <f t="shared" si="51"/>
        <v>Closed</v>
      </c>
      <c r="Q804" s="6">
        <v>4</v>
      </c>
      <c r="R804" s="7" t="s">
        <v>196</v>
      </c>
    </row>
    <row r="805" spans="1:18" x14ac:dyDescent="0.35">
      <c r="A805" s="6">
        <v>804</v>
      </c>
      <c r="B805" s="7" t="s">
        <v>1001</v>
      </c>
      <c r="C805" s="6">
        <v>8</v>
      </c>
      <c r="D805" s="6">
        <v>10</v>
      </c>
      <c r="E805" s="6">
        <v>10</v>
      </c>
      <c r="F805" s="6">
        <v>14</v>
      </c>
      <c r="G805" s="9">
        <v>45837.531168981499</v>
      </c>
      <c r="H805" s="9">
        <v>45837.781168981499</v>
      </c>
      <c r="I805" s="9">
        <v>45838.047835648198</v>
      </c>
      <c r="J805" s="9">
        <v>45838.547835648198</v>
      </c>
      <c r="K805" s="7" t="s">
        <v>207</v>
      </c>
      <c r="L805" s="10">
        <f t="shared" si="48"/>
        <v>6</v>
      </c>
      <c r="M805" s="10">
        <f t="shared" si="49"/>
        <v>6.4000000007799827</v>
      </c>
      <c r="N805" s="10">
        <f t="shared" si="50"/>
        <v>24.400000000779983</v>
      </c>
      <c r="O805" s="7" t="str">
        <f>IF(ISBLANK(I805),"N/A",IF(((I805-H805)*24)&gt;INDEX(Dim_ServiceType!$E$2:$E$16,MATCH(E805,Dim_ServiceType!$A$2:$A$16,0)),"Yes","No"))</f>
        <v>Yes</v>
      </c>
      <c r="P805" s="7" t="str">
        <f t="shared" si="51"/>
        <v>Closed</v>
      </c>
      <c r="Q805" s="6">
        <v>1</v>
      </c>
      <c r="R805" s="7" t="s">
        <v>196</v>
      </c>
    </row>
    <row r="806" spans="1:18" x14ac:dyDescent="0.35">
      <c r="A806" s="6">
        <v>805</v>
      </c>
      <c r="B806" s="7" t="s">
        <v>1002</v>
      </c>
      <c r="C806" s="6">
        <v>4</v>
      </c>
      <c r="D806" s="6">
        <v>13</v>
      </c>
      <c r="E806" s="6">
        <v>11</v>
      </c>
      <c r="F806" s="6">
        <v>5</v>
      </c>
      <c r="G806" s="9">
        <v>45692.910381944399</v>
      </c>
      <c r="H806" s="9">
        <v>45693.2437152778</v>
      </c>
      <c r="I806" s="9">
        <v>45693.4520486111</v>
      </c>
      <c r="J806" s="9">
        <v>45693.6187152778</v>
      </c>
      <c r="K806" s="7" t="s">
        <v>207</v>
      </c>
      <c r="L806" s="10">
        <f t="shared" si="48"/>
        <v>8.0000000016298145</v>
      </c>
      <c r="M806" s="10">
        <f t="shared" si="49"/>
        <v>4.9999999991850927</v>
      </c>
      <c r="N806" s="10">
        <f t="shared" si="50"/>
        <v>17.000000001629815</v>
      </c>
      <c r="O806" s="7" t="str">
        <f>IF(ISBLANK(I806),"N/A",IF(((I806-H806)*24)&gt;INDEX(Dim_ServiceType!$E$2:$E$16,MATCH(E806,Dim_ServiceType!$A$2:$A$16,0)),"Yes","No"))</f>
        <v>No</v>
      </c>
      <c r="P806" s="7" t="str">
        <f t="shared" si="51"/>
        <v>Closed</v>
      </c>
      <c r="Q806" s="6">
        <v>4</v>
      </c>
      <c r="R806" s="7" t="s">
        <v>196</v>
      </c>
    </row>
    <row r="807" spans="1:18" x14ac:dyDescent="0.35">
      <c r="A807" s="6">
        <v>806</v>
      </c>
      <c r="B807" s="7" t="s">
        <v>1003</v>
      </c>
      <c r="C807" s="6">
        <v>15</v>
      </c>
      <c r="D807" s="6">
        <v>8</v>
      </c>
      <c r="E807" s="6">
        <v>10</v>
      </c>
      <c r="F807" s="6">
        <v>2</v>
      </c>
      <c r="G807" s="9">
        <v>46002.229849536998</v>
      </c>
      <c r="H807" s="9"/>
      <c r="I807" s="9"/>
      <c r="J807" s="9"/>
      <c r="K807" s="7" t="s">
        <v>200</v>
      </c>
      <c r="L807" s="10" t="str">
        <f t="shared" si="48"/>
        <v/>
      </c>
      <c r="M807" s="10" t="str">
        <f t="shared" si="49"/>
        <v/>
      </c>
      <c r="N807" s="10" t="str">
        <f t="shared" si="50"/>
        <v/>
      </c>
      <c r="O807" s="7" t="str">
        <f>IF(ISBLANK(I807),"N/A",IF(((I807-H807)*24)&gt;INDEX(Dim_ServiceType!$E$2:$E$16,MATCH(E807,Dim_ServiceType!$A$2:$A$16,0)),"Yes","No"))</f>
        <v>N/A</v>
      </c>
      <c r="P807" s="7" t="str">
        <f t="shared" si="51"/>
        <v>Open (Unassigned)</v>
      </c>
      <c r="Q807" s="6"/>
      <c r="R807" s="7"/>
    </row>
    <row r="808" spans="1:18" x14ac:dyDescent="0.35">
      <c r="A808" s="6">
        <v>807</v>
      </c>
      <c r="B808" s="7" t="s">
        <v>1004</v>
      </c>
      <c r="C808" s="6">
        <v>3</v>
      </c>
      <c r="D808" s="6">
        <v>14</v>
      </c>
      <c r="E808" s="6">
        <v>2</v>
      </c>
      <c r="F808" s="6">
        <v>9</v>
      </c>
      <c r="G808" s="9">
        <v>45755.6233796296</v>
      </c>
      <c r="H808" s="9">
        <v>45756.1233796296</v>
      </c>
      <c r="I808" s="9">
        <v>45756.306712963</v>
      </c>
      <c r="J808" s="9">
        <v>45756.327546296299</v>
      </c>
      <c r="K808" s="7" t="s">
        <v>195</v>
      </c>
      <c r="L808" s="10">
        <f t="shared" si="48"/>
        <v>12</v>
      </c>
      <c r="M808" s="10">
        <f t="shared" si="49"/>
        <v>4.4000000015948899</v>
      </c>
      <c r="N808" s="10">
        <f t="shared" si="50"/>
        <v>16.900000000779983</v>
      </c>
      <c r="O808" s="7" t="str">
        <f>IF(ISBLANK(I808),"N/A",IF(((I808-H808)*24)&gt;INDEX(Dim_ServiceType!$E$2:$E$16,MATCH(E808,Dim_ServiceType!$A$2:$A$16,0)),"Yes","No"))</f>
        <v>No</v>
      </c>
      <c r="P808" s="7" t="str">
        <f t="shared" si="51"/>
        <v>Closed</v>
      </c>
      <c r="Q808" s="6">
        <v>5</v>
      </c>
      <c r="R808" s="7" t="s">
        <v>196</v>
      </c>
    </row>
    <row r="809" spans="1:18" x14ac:dyDescent="0.35">
      <c r="A809" s="6">
        <v>808</v>
      </c>
      <c r="B809" s="7" t="s">
        <v>1005</v>
      </c>
      <c r="C809" s="6">
        <v>14</v>
      </c>
      <c r="D809" s="6">
        <v>6</v>
      </c>
      <c r="E809" s="6">
        <v>1</v>
      </c>
      <c r="F809" s="6">
        <v>6</v>
      </c>
      <c r="G809" s="9">
        <v>45920.922523148198</v>
      </c>
      <c r="H809" s="9">
        <v>45921.255856481497</v>
      </c>
      <c r="I809" s="9">
        <v>45921.401689814797</v>
      </c>
      <c r="J809" s="9">
        <v>45921.901689814797</v>
      </c>
      <c r="K809" s="7" t="s">
        <v>192</v>
      </c>
      <c r="L809" s="10">
        <f t="shared" si="48"/>
        <v>7.9999999991850927</v>
      </c>
      <c r="M809" s="10">
        <f t="shared" si="49"/>
        <v>3.4999999991850927</v>
      </c>
      <c r="N809" s="10">
        <f t="shared" si="50"/>
        <v>23.499999998370185</v>
      </c>
      <c r="O809" s="7" t="str">
        <f>IF(ISBLANK(I809),"N/A",IF(((I809-H809)*24)&gt;INDEX(Dim_ServiceType!$E$2:$E$16,MATCH(E809,Dim_ServiceType!$A$2:$A$16,0)),"Yes","No"))</f>
        <v>No</v>
      </c>
      <c r="P809" s="7" t="str">
        <f t="shared" si="51"/>
        <v>Closed</v>
      </c>
      <c r="Q809" s="6">
        <v>4</v>
      </c>
      <c r="R809" s="7" t="s">
        <v>196</v>
      </c>
    </row>
    <row r="810" spans="1:18" x14ac:dyDescent="0.35">
      <c r="A810" s="6">
        <v>809</v>
      </c>
      <c r="B810" s="7" t="s">
        <v>1006</v>
      </c>
      <c r="C810" s="6">
        <v>10</v>
      </c>
      <c r="D810" s="6">
        <v>9</v>
      </c>
      <c r="E810" s="6">
        <v>13</v>
      </c>
      <c r="F810" s="6">
        <v>13</v>
      </c>
      <c r="G810" s="9">
        <v>45986.157187500001</v>
      </c>
      <c r="H810" s="9">
        <v>45986.282187500001</v>
      </c>
      <c r="I810" s="9">
        <v>45986.8655208333</v>
      </c>
      <c r="J810" s="9">
        <v>45987.032187500001</v>
      </c>
      <c r="K810" s="7" t="s">
        <v>192</v>
      </c>
      <c r="L810" s="10">
        <f t="shared" si="48"/>
        <v>3</v>
      </c>
      <c r="M810" s="10">
        <f t="shared" si="49"/>
        <v>13.999999999185093</v>
      </c>
      <c r="N810" s="10">
        <f t="shared" si="50"/>
        <v>21</v>
      </c>
      <c r="O810" s="7" t="str">
        <f>IF(ISBLANK(I810),"N/A",IF(((I810-H810)*24)&gt;INDEX(Dim_ServiceType!$E$2:$E$16,MATCH(E810,Dim_ServiceType!$A$2:$A$16,0)),"Yes","No"))</f>
        <v>No</v>
      </c>
      <c r="P810" s="7" t="str">
        <f t="shared" si="51"/>
        <v>Closed</v>
      </c>
      <c r="Q810" s="6">
        <v>5</v>
      </c>
      <c r="R810" s="7" t="s">
        <v>196</v>
      </c>
    </row>
    <row r="811" spans="1:18" x14ac:dyDescent="0.35">
      <c r="A811" s="6">
        <v>810</v>
      </c>
      <c r="B811" s="7" t="s">
        <v>1007</v>
      </c>
      <c r="C811" s="6">
        <v>1</v>
      </c>
      <c r="D811" s="6">
        <v>15</v>
      </c>
      <c r="E811" s="6">
        <v>6</v>
      </c>
      <c r="F811" s="6">
        <v>3</v>
      </c>
      <c r="G811" s="9">
        <v>45824.467824074098</v>
      </c>
      <c r="H811" s="9">
        <v>45824.717824074098</v>
      </c>
      <c r="I811" s="9">
        <v>45825.330324074101</v>
      </c>
      <c r="J811" s="9">
        <v>45825.371990740699</v>
      </c>
      <c r="K811" s="7" t="s">
        <v>207</v>
      </c>
      <c r="L811" s="10">
        <f t="shared" si="48"/>
        <v>6</v>
      </c>
      <c r="M811" s="10">
        <f t="shared" si="49"/>
        <v>14.700000000069849</v>
      </c>
      <c r="N811" s="10">
        <f t="shared" si="50"/>
        <v>21.699999998440035</v>
      </c>
      <c r="O811" s="7" t="str">
        <f>IF(ISBLANK(I811),"N/A",IF(((I811-H811)*24)&gt;INDEX(Dim_ServiceType!$E$2:$E$16,MATCH(E811,Dim_ServiceType!$A$2:$A$16,0)),"Yes","No"))</f>
        <v>No</v>
      </c>
      <c r="P811" s="7" t="str">
        <f t="shared" si="51"/>
        <v>Closed</v>
      </c>
      <c r="Q811" s="6">
        <v>5</v>
      </c>
      <c r="R811" s="7" t="s">
        <v>196</v>
      </c>
    </row>
    <row r="812" spans="1:18" x14ac:dyDescent="0.35">
      <c r="A812" s="6">
        <v>811</v>
      </c>
      <c r="B812" s="7" t="s">
        <v>1008</v>
      </c>
      <c r="C812" s="6">
        <v>8</v>
      </c>
      <c r="D812" s="6">
        <v>4</v>
      </c>
      <c r="E812" s="6">
        <v>11</v>
      </c>
      <c r="F812" s="6">
        <v>15</v>
      </c>
      <c r="G812" s="9">
        <v>45660.612337963001</v>
      </c>
      <c r="H812" s="9">
        <v>45660.9456712963</v>
      </c>
      <c r="I812" s="9"/>
      <c r="J812" s="9"/>
      <c r="K812" s="7" t="s">
        <v>192</v>
      </c>
      <c r="L812" s="10">
        <f t="shared" si="48"/>
        <v>7.9999999991850927</v>
      </c>
      <c r="M812" s="10" t="str">
        <f t="shared" si="49"/>
        <v/>
      </c>
      <c r="N812" s="10" t="str">
        <f t="shared" si="50"/>
        <v/>
      </c>
      <c r="O812" s="7" t="str">
        <f>IF(ISBLANK(I812),"N/A",IF(((I812-H812)*24)&gt;INDEX(Dim_ServiceType!$E$2:$E$16,MATCH(E812,Dim_ServiceType!$A$2:$A$16,0)),"Yes","No"))</f>
        <v>N/A</v>
      </c>
      <c r="P812" s="7" t="str">
        <f t="shared" si="51"/>
        <v>In Progress</v>
      </c>
      <c r="Q812" s="6"/>
      <c r="R812" s="7"/>
    </row>
    <row r="813" spans="1:18" x14ac:dyDescent="0.35">
      <c r="A813" s="6">
        <v>812</v>
      </c>
      <c r="B813" s="7" t="s">
        <v>1009</v>
      </c>
      <c r="C813" s="6">
        <v>10</v>
      </c>
      <c r="D813" s="6">
        <v>8</v>
      </c>
      <c r="E813" s="6">
        <v>3</v>
      </c>
      <c r="F813" s="6">
        <v>10</v>
      </c>
      <c r="G813" s="9">
        <v>46003.741238425901</v>
      </c>
      <c r="H813" s="9"/>
      <c r="I813" s="9"/>
      <c r="J813" s="9"/>
      <c r="K813" s="7" t="s">
        <v>192</v>
      </c>
      <c r="L813" s="10" t="str">
        <f t="shared" si="48"/>
        <v/>
      </c>
      <c r="M813" s="10" t="str">
        <f t="shared" si="49"/>
        <v/>
      </c>
      <c r="N813" s="10" t="str">
        <f t="shared" si="50"/>
        <v/>
      </c>
      <c r="O813" s="7" t="str">
        <f>IF(ISBLANK(I813),"N/A",IF(((I813-H813)*24)&gt;INDEX(Dim_ServiceType!$E$2:$E$16,MATCH(E813,Dim_ServiceType!$A$2:$A$16,0)),"Yes","No"))</f>
        <v>N/A</v>
      </c>
      <c r="P813" s="7" t="str">
        <f t="shared" si="51"/>
        <v>Open (Unassigned)</v>
      </c>
      <c r="Q813" s="6"/>
      <c r="R813" s="7"/>
    </row>
    <row r="814" spans="1:18" x14ac:dyDescent="0.35">
      <c r="A814" s="6">
        <v>813</v>
      </c>
      <c r="B814" s="7" t="s">
        <v>1010</v>
      </c>
      <c r="C814" s="6">
        <v>14</v>
      </c>
      <c r="D814" s="6">
        <v>5</v>
      </c>
      <c r="E814" s="6">
        <v>7</v>
      </c>
      <c r="F814" s="6">
        <v>11</v>
      </c>
      <c r="G814" s="9">
        <v>45907.582777777803</v>
      </c>
      <c r="H814" s="9">
        <v>45907.603611111103</v>
      </c>
      <c r="I814" s="9">
        <v>45908.153611111098</v>
      </c>
      <c r="J814" s="9">
        <v>45908.174444444398</v>
      </c>
      <c r="K814" s="7" t="s">
        <v>195</v>
      </c>
      <c r="L814" s="10">
        <f t="shared" si="48"/>
        <v>0.49999999918509275</v>
      </c>
      <c r="M814" s="10">
        <f t="shared" si="49"/>
        <v>13.199999999895226</v>
      </c>
      <c r="N814" s="10">
        <f t="shared" si="50"/>
        <v>14.199999998265412</v>
      </c>
      <c r="O814" s="7" t="str">
        <f>IF(ISBLANK(I814),"N/A",IF(((I814-H814)*24)&gt;INDEX(Dim_ServiceType!$E$2:$E$16,MATCH(E814,Dim_ServiceType!$A$2:$A$16,0)),"Yes","No"))</f>
        <v>No</v>
      </c>
      <c r="P814" s="7" t="str">
        <f t="shared" si="51"/>
        <v>Closed</v>
      </c>
      <c r="Q814" s="6">
        <v>1</v>
      </c>
      <c r="R814" s="7" t="s">
        <v>196</v>
      </c>
    </row>
    <row r="815" spans="1:18" x14ac:dyDescent="0.35">
      <c r="A815" s="6">
        <v>814</v>
      </c>
      <c r="B815" s="7" t="s">
        <v>1011</v>
      </c>
      <c r="C815" s="6">
        <v>9</v>
      </c>
      <c r="D815" s="6">
        <v>1</v>
      </c>
      <c r="E815" s="6">
        <v>5</v>
      </c>
      <c r="F815" s="6">
        <v>6</v>
      </c>
      <c r="G815" s="9">
        <v>45731.307083333297</v>
      </c>
      <c r="H815" s="9">
        <v>45731.557083333297</v>
      </c>
      <c r="I815" s="9">
        <v>45731.861250000002</v>
      </c>
      <c r="J815" s="9">
        <v>45732.111250000002</v>
      </c>
      <c r="K815" s="7" t="s">
        <v>195</v>
      </c>
      <c r="L815" s="10">
        <f t="shared" si="48"/>
        <v>6</v>
      </c>
      <c r="M815" s="10">
        <f t="shared" si="49"/>
        <v>7.300000000919681</v>
      </c>
      <c r="N815" s="10">
        <f t="shared" si="50"/>
        <v>19.300000000919681</v>
      </c>
      <c r="O815" s="7" t="str">
        <f>IF(ISBLANK(I815),"N/A",IF(((I815-H815)*24)&gt;INDEX(Dim_ServiceType!$E$2:$E$16,MATCH(E815,Dim_ServiceType!$A$2:$A$16,0)),"Yes","No"))</f>
        <v>No</v>
      </c>
      <c r="P815" s="7" t="str">
        <f t="shared" si="51"/>
        <v>Closed</v>
      </c>
      <c r="Q815" s="6">
        <v>4</v>
      </c>
      <c r="R815" s="7" t="s">
        <v>196</v>
      </c>
    </row>
    <row r="816" spans="1:18" x14ac:dyDescent="0.35">
      <c r="A816" s="6">
        <v>815</v>
      </c>
      <c r="B816" s="7" t="s">
        <v>1012</v>
      </c>
      <c r="C816" s="6">
        <v>15</v>
      </c>
      <c r="D816" s="6">
        <v>8</v>
      </c>
      <c r="E816" s="6">
        <v>9</v>
      </c>
      <c r="F816" s="6">
        <v>9</v>
      </c>
      <c r="G816" s="9">
        <v>45831.583414351902</v>
      </c>
      <c r="H816" s="9">
        <v>45831.916747685202</v>
      </c>
      <c r="I816" s="9">
        <v>45833.820914351898</v>
      </c>
      <c r="J816" s="9">
        <v>45833.862581018497</v>
      </c>
      <c r="K816" s="7" t="s">
        <v>200</v>
      </c>
      <c r="L816" s="10">
        <f t="shared" si="48"/>
        <v>7.9999999991850927</v>
      </c>
      <c r="M816" s="10">
        <f t="shared" si="49"/>
        <v>45.700000000710133</v>
      </c>
      <c r="N816" s="10">
        <f t="shared" si="50"/>
        <v>54.699999998265412</v>
      </c>
      <c r="O816" s="7" t="str">
        <f>IF(ISBLANK(I816),"N/A",IF(((I816-H816)*24)&gt;INDEX(Dim_ServiceType!$E$2:$E$16,MATCH(E816,Dim_ServiceType!$A$2:$A$16,0)),"Yes","No"))</f>
        <v>No</v>
      </c>
      <c r="P816" s="7" t="str">
        <f t="shared" si="51"/>
        <v>Closed</v>
      </c>
      <c r="Q816" s="6">
        <v>5</v>
      </c>
      <c r="R816" s="7" t="s">
        <v>196</v>
      </c>
    </row>
    <row r="817" spans="1:18" x14ac:dyDescent="0.35">
      <c r="A817" s="6">
        <v>816</v>
      </c>
      <c r="B817" s="7" t="s">
        <v>1013</v>
      </c>
      <c r="C817" s="6">
        <v>11</v>
      </c>
      <c r="D817" s="6">
        <v>12</v>
      </c>
      <c r="E817" s="6">
        <v>1</v>
      </c>
      <c r="F817" s="6">
        <v>14</v>
      </c>
      <c r="G817" s="9">
        <v>45735.777523148201</v>
      </c>
      <c r="H817" s="9">
        <v>45735.8608564815</v>
      </c>
      <c r="I817" s="9"/>
      <c r="J817" s="9"/>
      <c r="K817" s="7" t="s">
        <v>207</v>
      </c>
      <c r="L817" s="10">
        <f t="shared" si="48"/>
        <v>1.9999999991850927</v>
      </c>
      <c r="M817" s="10" t="str">
        <f t="shared" si="49"/>
        <v/>
      </c>
      <c r="N817" s="10" t="str">
        <f t="shared" si="50"/>
        <v/>
      </c>
      <c r="O817" s="7" t="str">
        <f>IF(ISBLANK(I817),"N/A",IF(((I817-H817)*24)&gt;INDEX(Dim_ServiceType!$E$2:$E$16,MATCH(E817,Dim_ServiceType!$A$2:$A$16,0)),"Yes","No"))</f>
        <v>N/A</v>
      </c>
      <c r="P817" s="7" t="str">
        <f t="shared" si="51"/>
        <v>In Progress</v>
      </c>
      <c r="Q817" s="6"/>
      <c r="R817" s="7"/>
    </row>
    <row r="818" spans="1:18" x14ac:dyDescent="0.35">
      <c r="A818" s="6">
        <v>817</v>
      </c>
      <c r="B818" s="7" t="s">
        <v>1014</v>
      </c>
      <c r="C818" s="6">
        <v>10</v>
      </c>
      <c r="D818" s="6">
        <v>15</v>
      </c>
      <c r="E818" s="6">
        <v>4</v>
      </c>
      <c r="F818" s="6">
        <v>14</v>
      </c>
      <c r="G818" s="9">
        <v>45783.181863425903</v>
      </c>
      <c r="H818" s="9">
        <v>45783.515196759297</v>
      </c>
      <c r="I818" s="9">
        <v>45784.552696759303</v>
      </c>
      <c r="J818" s="9">
        <v>45784.719363425902</v>
      </c>
      <c r="K818" s="7" t="s">
        <v>198</v>
      </c>
      <c r="L818" s="10">
        <f t="shared" si="48"/>
        <v>8.0000000014551915</v>
      </c>
      <c r="M818" s="10">
        <f t="shared" si="49"/>
        <v>24.900000000139698</v>
      </c>
      <c r="N818" s="10">
        <f t="shared" si="50"/>
        <v>36.899999999965075</v>
      </c>
      <c r="O818" s="7" t="str">
        <f>IF(ISBLANK(I818),"N/A",IF(((I818-H818)*24)&gt;INDEX(Dim_ServiceType!$E$2:$E$16,MATCH(E818,Dim_ServiceType!$A$2:$A$16,0)),"Yes","No"))</f>
        <v>Yes</v>
      </c>
      <c r="P818" s="7" t="str">
        <f t="shared" si="51"/>
        <v>Closed</v>
      </c>
      <c r="Q818" s="6">
        <v>5</v>
      </c>
      <c r="R818" s="7" t="s">
        <v>196</v>
      </c>
    </row>
    <row r="819" spans="1:18" x14ac:dyDescent="0.35">
      <c r="A819" s="6">
        <v>818</v>
      </c>
      <c r="B819" s="7" t="s">
        <v>1015</v>
      </c>
      <c r="C819" s="6">
        <v>13</v>
      </c>
      <c r="D819" s="6">
        <v>4</v>
      </c>
      <c r="E819" s="6">
        <v>5</v>
      </c>
      <c r="F819" s="6">
        <v>12</v>
      </c>
      <c r="G819" s="9">
        <v>45995.645324074103</v>
      </c>
      <c r="H819" s="9">
        <v>45995.770324074103</v>
      </c>
      <c r="I819" s="9">
        <v>45996.366157407399</v>
      </c>
      <c r="J819" s="9">
        <v>45996.616157407399</v>
      </c>
      <c r="K819" s="7" t="s">
        <v>200</v>
      </c>
      <c r="L819" s="10">
        <f t="shared" si="48"/>
        <v>3</v>
      </c>
      <c r="M819" s="10">
        <f t="shared" si="49"/>
        <v>14.299999999115244</v>
      </c>
      <c r="N819" s="10">
        <f t="shared" si="50"/>
        <v>23.299999999115244</v>
      </c>
      <c r="O819" s="7" t="str">
        <f>IF(ISBLANK(I819),"N/A",IF(((I819-H819)*24)&gt;INDEX(Dim_ServiceType!$E$2:$E$16,MATCH(E819,Dim_ServiceType!$A$2:$A$16,0)),"Yes","No"))</f>
        <v>Yes</v>
      </c>
      <c r="P819" s="7" t="str">
        <f t="shared" si="51"/>
        <v>Closed</v>
      </c>
      <c r="Q819" s="6">
        <v>4</v>
      </c>
      <c r="R819" s="7" t="s">
        <v>196</v>
      </c>
    </row>
    <row r="820" spans="1:18" x14ac:dyDescent="0.35">
      <c r="A820" s="6">
        <v>819</v>
      </c>
      <c r="B820" s="7" t="s">
        <v>1016</v>
      </c>
      <c r="C820" s="6">
        <v>6</v>
      </c>
      <c r="D820" s="6">
        <v>7</v>
      </c>
      <c r="E820" s="6">
        <v>15</v>
      </c>
      <c r="F820" s="6">
        <v>10</v>
      </c>
      <c r="G820" s="9">
        <v>45925.700949074097</v>
      </c>
      <c r="H820" s="9">
        <v>45926.700949074097</v>
      </c>
      <c r="I820" s="9">
        <v>45927.759282407402</v>
      </c>
      <c r="J820" s="9">
        <v>45927.925949074102</v>
      </c>
      <c r="K820" s="7" t="s">
        <v>207</v>
      </c>
      <c r="L820" s="10">
        <f t="shared" si="48"/>
        <v>24</v>
      </c>
      <c r="M820" s="10">
        <f t="shared" si="49"/>
        <v>25.399999999324791</v>
      </c>
      <c r="N820" s="10">
        <f t="shared" si="50"/>
        <v>53.400000000139698</v>
      </c>
      <c r="O820" s="7" t="str">
        <f>IF(ISBLANK(I820),"N/A",IF(((I820-H820)*24)&gt;INDEX(Dim_ServiceType!$E$2:$E$16,MATCH(E820,Dim_ServiceType!$A$2:$A$16,0)),"Yes","No"))</f>
        <v>Yes</v>
      </c>
      <c r="P820" s="7" t="str">
        <f t="shared" si="51"/>
        <v>Closed</v>
      </c>
      <c r="Q820" s="6">
        <v>2</v>
      </c>
      <c r="R820" s="7" t="s">
        <v>196</v>
      </c>
    </row>
    <row r="821" spans="1:18" x14ac:dyDescent="0.35">
      <c r="A821" s="6">
        <v>820</v>
      </c>
      <c r="B821" s="7" t="s">
        <v>1017</v>
      </c>
      <c r="C821" s="6">
        <v>4</v>
      </c>
      <c r="D821" s="6">
        <v>4</v>
      </c>
      <c r="E821" s="6">
        <v>13</v>
      </c>
      <c r="F821" s="6">
        <v>14</v>
      </c>
      <c r="G821" s="9">
        <v>45784.119027777801</v>
      </c>
      <c r="H821" s="9">
        <v>45784.869027777801</v>
      </c>
      <c r="I821" s="9">
        <v>45785.656527777799</v>
      </c>
      <c r="J821" s="9">
        <v>45785.677361111098</v>
      </c>
      <c r="K821" s="7" t="s">
        <v>200</v>
      </c>
      <c r="L821" s="10">
        <f t="shared" si="48"/>
        <v>18</v>
      </c>
      <c r="M821" s="10">
        <f t="shared" si="49"/>
        <v>18.899999999965075</v>
      </c>
      <c r="N821" s="10">
        <f t="shared" si="50"/>
        <v>37.399999999150168</v>
      </c>
      <c r="O821" s="7" t="str">
        <f>IF(ISBLANK(I821),"N/A",IF(((I821-H821)*24)&gt;INDEX(Dim_ServiceType!$E$2:$E$16,MATCH(E821,Dim_ServiceType!$A$2:$A$16,0)),"Yes","No"))</f>
        <v>No</v>
      </c>
      <c r="P821" s="7" t="str">
        <f t="shared" si="51"/>
        <v>Closed</v>
      </c>
      <c r="Q821" s="6">
        <v>3</v>
      </c>
      <c r="R821" s="7" t="s">
        <v>196</v>
      </c>
    </row>
    <row r="822" spans="1:18" x14ac:dyDescent="0.35">
      <c r="A822" s="6">
        <v>821</v>
      </c>
      <c r="B822" s="7" t="s">
        <v>1018</v>
      </c>
      <c r="C822" s="6">
        <v>2</v>
      </c>
      <c r="D822" s="6">
        <v>6</v>
      </c>
      <c r="E822" s="6">
        <v>2</v>
      </c>
      <c r="F822" s="6">
        <v>5</v>
      </c>
      <c r="G822" s="9">
        <v>45944.245682870402</v>
      </c>
      <c r="H822" s="9">
        <v>45944.287349537</v>
      </c>
      <c r="I822" s="9">
        <v>45944.587349537003</v>
      </c>
      <c r="J822" s="9">
        <v>45945.087349537003</v>
      </c>
      <c r="K822" s="7" t="s">
        <v>207</v>
      </c>
      <c r="L822" s="10">
        <f t="shared" si="48"/>
        <v>0.99999999837018549</v>
      </c>
      <c r="M822" s="10">
        <f t="shared" si="49"/>
        <v>7.2000000000698492</v>
      </c>
      <c r="N822" s="10">
        <f t="shared" si="50"/>
        <v>20.199999998440035</v>
      </c>
      <c r="O822" s="7" t="str">
        <f>IF(ISBLANK(I822),"N/A",IF(((I822-H822)*24)&gt;INDEX(Dim_ServiceType!$E$2:$E$16,MATCH(E822,Dim_ServiceType!$A$2:$A$16,0)),"Yes","No"))</f>
        <v>Yes</v>
      </c>
      <c r="P822" s="7" t="str">
        <f t="shared" si="51"/>
        <v>Closed</v>
      </c>
      <c r="Q822" s="6">
        <v>3</v>
      </c>
      <c r="R822" s="7" t="s">
        <v>196</v>
      </c>
    </row>
    <row r="823" spans="1:18" x14ac:dyDescent="0.35">
      <c r="A823" s="6">
        <v>822</v>
      </c>
      <c r="B823" s="7" t="s">
        <v>1019</v>
      </c>
      <c r="C823" s="6">
        <v>1</v>
      </c>
      <c r="D823" s="6">
        <v>2</v>
      </c>
      <c r="E823" s="6">
        <v>6</v>
      </c>
      <c r="F823" s="6">
        <v>1</v>
      </c>
      <c r="G823" s="9">
        <v>45888.493993055599</v>
      </c>
      <c r="H823" s="9">
        <v>45888.743993055599</v>
      </c>
      <c r="I823" s="9">
        <v>45890.868993055599</v>
      </c>
      <c r="J823" s="9">
        <v>45891.118993055599</v>
      </c>
      <c r="K823" s="7" t="s">
        <v>200</v>
      </c>
      <c r="L823" s="10">
        <f t="shared" si="48"/>
        <v>6</v>
      </c>
      <c r="M823" s="10">
        <f t="shared" si="49"/>
        <v>51</v>
      </c>
      <c r="N823" s="10">
        <f t="shared" si="50"/>
        <v>63</v>
      </c>
      <c r="O823" s="7" t="str">
        <f>IF(ISBLANK(I823),"N/A",IF(((I823-H823)*24)&gt;INDEX(Dim_ServiceType!$E$2:$E$16,MATCH(E823,Dim_ServiceType!$A$2:$A$16,0)),"Yes","No"))</f>
        <v>Yes</v>
      </c>
      <c r="P823" s="7" t="str">
        <f t="shared" si="51"/>
        <v>Closed</v>
      </c>
      <c r="Q823" s="6">
        <v>2</v>
      </c>
      <c r="R823" s="7" t="s">
        <v>193</v>
      </c>
    </row>
    <row r="824" spans="1:18" x14ac:dyDescent="0.35">
      <c r="A824" s="6">
        <v>823</v>
      </c>
      <c r="B824" s="7" t="s">
        <v>1020</v>
      </c>
      <c r="C824" s="6">
        <v>9</v>
      </c>
      <c r="D824" s="6">
        <v>10</v>
      </c>
      <c r="E824" s="6">
        <v>3</v>
      </c>
      <c r="F824" s="6">
        <v>9</v>
      </c>
      <c r="G824" s="9">
        <v>45879.054513888899</v>
      </c>
      <c r="H824" s="9">
        <v>45879.804513888899</v>
      </c>
      <c r="I824" s="9">
        <v>45879.925347222197</v>
      </c>
      <c r="J824" s="9">
        <v>45879.946180555598</v>
      </c>
      <c r="K824" s="7" t="s">
        <v>198</v>
      </c>
      <c r="L824" s="10">
        <f t="shared" si="48"/>
        <v>18</v>
      </c>
      <c r="M824" s="10">
        <f t="shared" si="49"/>
        <v>2.8999999991501682</v>
      </c>
      <c r="N824" s="10">
        <f t="shared" si="50"/>
        <v>21.400000000779983</v>
      </c>
      <c r="O824" s="7" t="str">
        <f>IF(ISBLANK(I824),"N/A",IF(((I824-H824)*24)&gt;INDEX(Dim_ServiceType!$E$2:$E$16,MATCH(E824,Dim_ServiceType!$A$2:$A$16,0)),"Yes","No"))</f>
        <v>No</v>
      </c>
      <c r="P824" s="7" t="str">
        <f t="shared" si="51"/>
        <v>Closed</v>
      </c>
      <c r="Q824" s="6">
        <v>3</v>
      </c>
      <c r="R824" s="7" t="s">
        <v>196</v>
      </c>
    </row>
    <row r="825" spans="1:18" x14ac:dyDescent="0.35">
      <c r="A825" s="6">
        <v>824</v>
      </c>
      <c r="B825" s="7" t="s">
        <v>1021</v>
      </c>
      <c r="C825" s="6">
        <v>12</v>
      </c>
      <c r="D825" s="6">
        <v>5</v>
      </c>
      <c r="E825" s="6">
        <v>4</v>
      </c>
      <c r="F825" s="6">
        <v>3</v>
      </c>
      <c r="G825" s="9">
        <v>45814.295995370398</v>
      </c>
      <c r="H825" s="9">
        <v>45814.420995370398</v>
      </c>
      <c r="I825" s="9">
        <v>45815.195995370399</v>
      </c>
      <c r="J825" s="9">
        <v>45815.695995370399</v>
      </c>
      <c r="K825" s="7" t="s">
        <v>195</v>
      </c>
      <c r="L825" s="10">
        <f t="shared" si="48"/>
        <v>3</v>
      </c>
      <c r="M825" s="10">
        <f t="shared" si="49"/>
        <v>18.600000000034925</v>
      </c>
      <c r="N825" s="10">
        <f t="shared" si="50"/>
        <v>33.600000000034925</v>
      </c>
      <c r="O825" s="7" t="str">
        <f>IF(ISBLANK(I825),"N/A",IF(((I825-H825)*24)&gt;INDEX(Dim_ServiceType!$E$2:$E$16,MATCH(E825,Dim_ServiceType!$A$2:$A$16,0)),"Yes","No"))</f>
        <v>No</v>
      </c>
      <c r="P825" s="7" t="str">
        <f t="shared" si="51"/>
        <v>Closed</v>
      </c>
      <c r="Q825" s="6">
        <v>3</v>
      </c>
      <c r="R825" s="7" t="s">
        <v>196</v>
      </c>
    </row>
    <row r="826" spans="1:18" x14ac:dyDescent="0.35">
      <c r="A826" s="6">
        <v>825</v>
      </c>
      <c r="B826" s="7" t="s">
        <v>1022</v>
      </c>
      <c r="C826" s="6">
        <v>6</v>
      </c>
      <c r="D826" s="6">
        <v>2</v>
      </c>
      <c r="E826" s="6">
        <v>14</v>
      </c>
      <c r="F826" s="6">
        <v>1</v>
      </c>
      <c r="G826" s="9">
        <v>45766.012534722198</v>
      </c>
      <c r="H826" s="9">
        <v>45767.012534722198</v>
      </c>
      <c r="I826" s="9"/>
      <c r="J826" s="9"/>
      <c r="K826" s="7" t="s">
        <v>200</v>
      </c>
      <c r="L826" s="10">
        <f t="shared" si="48"/>
        <v>24</v>
      </c>
      <c r="M826" s="10" t="str">
        <f t="shared" si="49"/>
        <v/>
      </c>
      <c r="N826" s="10" t="str">
        <f t="shared" si="50"/>
        <v/>
      </c>
      <c r="O826" s="7" t="str">
        <f>IF(ISBLANK(I826),"N/A",IF(((I826-H826)*24)&gt;INDEX(Dim_ServiceType!$E$2:$E$16,MATCH(E826,Dim_ServiceType!$A$2:$A$16,0)),"Yes","No"))</f>
        <v>N/A</v>
      </c>
      <c r="P826" s="7" t="str">
        <f t="shared" si="51"/>
        <v>In Progress</v>
      </c>
      <c r="Q826" s="6"/>
      <c r="R826" s="7"/>
    </row>
    <row r="827" spans="1:18" x14ac:dyDescent="0.35">
      <c r="A827" s="6">
        <v>826</v>
      </c>
      <c r="B827" s="7" t="s">
        <v>1023</v>
      </c>
      <c r="C827" s="6">
        <v>14</v>
      </c>
      <c r="D827" s="6">
        <v>4</v>
      </c>
      <c r="E827" s="6">
        <v>4</v>
      </c>
      <c r="F827" s="6">
        <v>12</v>
      </c>
      <c r="G827" s="9">
        <v>45946.2031712963</v>
      </c>
      <c r="H827" s="9">
        <v>45947.2031712963</v>
      </c>
      <c r="I827" s="9">
        <v>45947.861504629604</v>
      </c>
      <c r="J827" s="9">
        <v>45948.361504629604</v>
      </c>
      <c r="K827" s="7" t="s">
        <v>192</v>
      </c>
      <c r="L827" s="10">
        <f t="shared" si="48"/>
        <v>24</v>
      </c>
      <c r="M827" s="10">
        <f t="shared" si="49"/>
        <v>15.799999999289867</v>
      </c>
      <c r="N827" s="10">
        <f t="shared" si="50"/>
        <v>51.799999999289867</v>
      </c>
      <c r="O827" s="7" t="str">
        <f>IF(ISBLANK(I827),"N/A",IF(((I827-H827)*24)&gt;INDEX(Dim_ServiceType!$E$2:$E$16,MATCH(E827,Dim_ServiceType!$A$2:$A$16,0)),"Yes","No"))</f>
        <v>No</v>
      </c>
      <c r="P827" s="7" t="str">
        <f t="shared" si="51"/>
        <v>Closed</v>
      </c>
      <c r="Q827" s="6">
        <v>3</v>
      </c>
      <c r="R827" s="7" t="s">
        <v>196</v>
      </c>
    </row>
    <row r="828" spans="1:18" x14ac:dyDescent="0.35">
      <c r="A828" s="6">
        <v>827</v>
      </c>
      <c r="B828" s="7" t="s">
        <v>1024</v>
      </c>
      <c r="C828" s="6">
        <v>5</v>
      </c>
      <c r="D828" s="6">
        <v>15</v>
      </c>
      <c r="E828" s="6">
        <v>7</v>
      </c>
      <c r="F828" s="6">
        <v>1</v>
      </c>
      <c r="G828" s="9">
        <v>45754.248148148101</v>
      </c>
      <c r="H828" s="9">
        <v>45754.498148148101</v>
      </c>
      <c r="I828" s="9">
        <v>45755.393981481502</v>
      </c>
      <c r="J828" s="9">
        <v>45755.893981481502</v>
      </c>
      <c r="K828" s="7" t="s">
        <v>195</v>
      </c>
      <c r="L828" s="10">
        <f t="shared" si="48"/>
        <v>6</v>
      </c>
      <c r="M828" s="10">
        <f t="shared" si="49"/>
        <v>21.500000001629815</v>
      </c>
      <c r="N828" s="10">
        <f t="shared" si="50"/>
        <v>39.500000001629815</v>
      </c>
      <c r="O828" s="7" t="str">
        <f>IF(ISBLANK(I828),"N/A",IF(((I828-H828)*24)&gt;INDEX(Dim_ServiceType!$E$2:$E$16,MATCH(E828,Dim_ServiceType!$A$2:$A$16,0)),"Yes","No"))</f>
        <v>No</v>
      </c>
      <c r="P828" s="7" t="str">
        <f t="shared" si="51"/>
        <v>Closed</v>
      </c>
      <c r="Q828" s="6">
        <v>4</v>
      </c>
      <c r="R828" s="7" t="s">
        <v>196</v>
      </c>
    </row>
    <row r="829" spans="1:18" x14ac:dyDescent="0.35">
      <c r="A829" s="6">
        <v>828</v>
      </c>
      <c r="B829" s="7" t="s">
        <v>1025</v>
      </c>
      <c r="C829" s="6">
        <v>6</v>
      </c>
      <c r="D829" s="6">
        <v>5</v>
      </c>
      <c r="E829" s="6">
        <v>5</v>
      </c>
      <c r="F829" s="6">
        <v>2</v>
      </c>
      <c r="G829" s="9">
        <v>45911.724826388898</v>
      </c>
      <c r="H829" s="9">
        <v>45911.974826388898</v>
      </c>
      <c r="I829" s="9">
        <v>45912.4206597222</v>
      </c>
      <c r="J829" s="9">
        <v>45912.462326388901</v>
      </c>
      <c r="K829" s="7" t="s">
        <v>198</v>
      </c>
      <c r="L829" s="10">
        <f t="shared" si="48"/>
        <v>6</v>
      </c>
      <c r="M829" s="10">
        <f t="shared" si="49"/>
        <v>10.699999999254942</v>
      </c>
      <c r="N829" s="10">
        <f t="shared" si="50"/>
        <v>17.700000000069849</v>
      </c>
      <c r="O829" s="7" t="str">
        <f>IF(ISBLANK(I829),"N/A",IF(((I829-H829)*24)&gt;INDEX(Dim_ServiceType!$E$2:$E$16,MATCH(E829,Dim_ServiceType!$A$2:$A$16,0)),"Yes","No"))</f>
        <v>No</v>
      </c>
      <c r="P829" s="7" t="str">
        <f t="shared" si="51"/>
        <v>Closed</v>
      </c>
      <c r="Q829" s="6">
        <v>3</v>
      </c>
      <c r="R829" s="7" t="s">
        <v>196</v>
      </c>
    </row>
    <row r="830" spans="1:18" x14ac:dyDescent="0.35">
      <c r="A830" s="6">
        <v>829</v>
      </c>
      <c r="B830" s="7" t="s">
        <v>1026</v>
      </c>
      <c r="C830" s="6">
        <v>11</v>
      </c>
      <c r="D830" s="6">
        <v>12</v>
      </c>
      <c r="E830" s="6">
        <v>5</v>
      </c>
      <c r="F830" s="6">
        <v>10</v>
      </c>
      <c r="G830" s="9">
        <v>45795.563344907401</v>
      </c>
      <c r="H830" s="9">
        <v>45795.730011574102</v>
      </c>
      <c r="I830" s="9"/>
      <c r="J830" s="9"/>
      <c r="K830" s="7" t="s">
        <v>192</v>
      </c>
      <c r="L830" s="10">
        <f t="shared" si="48"/>
        <v>4.0000000008149073</v>
      </c>
      <c r="M830" s="10" t="str">
        <f t="shared" si="49"/>
        <v/>
      </c>
      <c r="N830" s="10" t="str">
        <f t="shared" si="50"/>
        <v/>
      </c>
      <c r="O830" s="7" t="str">
        <f>IF(ISBLANK(I830),"N/A",IF(((I830-H830)*24)&gt;INDEX(Dim_ServiceType!$E$2:$E$16,MATCH(E830,Dim_ServiceType!$A$2:$A$16,0)),"Yes","No"))</f>
        <v>N/A</v>
      </c>
      <c r="P830" s="7" t="str">
        <f t="shared" si="51"/>
        <v>In Progress</v>
      </c>
      <c r="Q830" s="6"/>
      <c r="R830" s="7"/>
    </row>
    <row r="831" spans="1:18" x14ac:dyDescent="0.35">
      <c r="A831" s="6">
        <v>830</v>
      </c>
      <c r="B831" s="7" t="s">
        <v>1027</v>
      </c>
      <c r="C831" s="6">
        <v>13</v>
      </c>
      <c r="D831" s="6">
        <v>5</v>
      </c>
      <c r="E831" s="6">
        <v>12</v>
      </c>
      <c r="F831" s="6">
        <v>13</v>
      </c>
      <c r="G831" s="9">
        <v>45787.188090277799</v>
      </c>
      <c r="H831" s="9">
        <v>45788.188090277799</v>
      </c>
      <c r="I831" s="9">
        <v>45788.925590277802</v>
      </c>
      <c r="J831" s="9">
        <v>45788.946423611102</v>
      </c>
      <c r="K831" s="7" t="s">
        <v>207</v>
      </c>
      <c r="L831" s="10">
        <f t="shared" si="48"/>
        <v>24</v>
      </c>
      <c r="M831" s="10">
        <f t="shared" si="49"/>
        <v>17.700000000069849</v>
      </c>
      <c r="N831" s="10">
        <f t="shared" si="50"/>
        <v>42.199999999254942</v>
      </c>
      <c r="O831" s="7" t="str">
        <f>IF(ISBLANK(I831),"N/A",IF(((I831-H831)*24)&gt;INDEX(Dim_ServiceType!$E$2:$E$16,MATCH(E831,Dim_ServiceType!$A$2:$A$16,0)),"Yes","No"))</f>
        <v>No</v>
      </c>
      <c r="P831" s="7" t="str">
        <f t="shared" si="51"/>
        <v>Closed</v>
      </c>
      <c r="Q831" s="6">
        <v>5</v>
      </c>
      <c r="R831" s="7" t="s">
        <v>196</v>
      </c>
    </row>
    <row r="832" spans="1:18" x14ac:dyDescent="0.35">
      <c r="A832" s="6">
        <v>831</v>
      </c>
      <c r="B832" s="7" t="s">
        <v>1028</v>
      </c>
      <c r="C832" s="6">
        <v>4</v>
      </c>
      <c r="D832" s="6">
        <v>6</v>
      </c>
      <c r="E832" s="6">
        <v>9</v>
      </c>
      <c r="F832" s="6">
        <v>8</v>
      </c>
      <c r="G832" s="9">
        <v>45759.634398148199</v>
      </c>
      <c r="H832" s="9">
        <v>45760.384398148199</v>
      </c>
      <c r="I832" s="9">
        <v>45763.9760648148</v>
      </c>
      <c r="J832" s="9">
        <v>45764.142731481501</v>
      </c>
      <c r="K832" s="7" t="s">
        <v>207</v>
      </c>
      <c r="L832" s="10">
        <f t="shared" si="48"/>
        <v>18</v>
      </c>
      <c r="M832" s="10">
        <f t="shared" si="49"/>
        <v>86.199999998440035</v>
      </c>
      <c r="N832" s="10">
        <f t="shared" si="50"/>
        <v>108.19999999925494</v>
      </c>
      <c r="O832" s="7" t="str">
        <f>IF(ISBLANK(I832),"N/A",IF(((I832-H832)*24)&gt;INDEX(Dim_ServiceType!$E$2:$E$16,MATCH(E832,Dim_ServiceType!$A$2:$A$16,0)),"Yes","No"))</f>
        <v>Yes</v>
      </c>
      <c r="P832" s="7" t="str">
        <f t="shared" si="51"/>
        <v>Closed</v>
      </c>
      <c r="Q832" s="6">
        <v>4</v>
      </c>
      <c r="R832" s="7" t="s">
        <v>196</v>
      </c>
    </row>
    <row r="833" spans="1:18" x14ac:dyDescent="0.35">
      <c r="A833" s="6">
        <v>832</v>
      </c>
      <c r="B833" s="7" t="s">
        <v>1029</v>
      </c>
      <c r="C833" s="6">
        <v>2</v>
      </c>
      <c r="D833" s="6">
        <v>3</v>
      </c>
      <c r="E833" s="6">
        <v>7</v>
      </c>
      <c r="F833" s="6">
        <v>9</v>
      </c>
      <c r="G833" s="9">
        <v>45780.330729166701</v>
      </c>
      <c r="H833" s="9">
        <v>45781.330729166701</v>
      </c>
      <c r="I833" s="9">
        <v>45782.1640625</v>
      </c>
      <c r="J833" s="9">
        <v>45782.205729166701</v>
      </c>
      <c r="K833" s="7" t="s">
        <v>195</v>
      </c>
      <c r="L833" s="10">
        <f t="shared" si="48"/>
        <v>24</v>
      </c>
      <c r="M833" s="10">
        <f t="shared" si="49"/>
        <v>19.999999999185093</v>
      </c>
      <c r="N833" s="10">
        <f t="shared" si="50"/>
        <v>45</v>
      </c>
      <c r="O833" s="7" t="str">
        <f>IF(ISBLANK(I833),"N/A",IF(((I833-H833)*24)&gt;INDEX(Dim_ServiceType!$E$2:$E$16,MATCH(E833,Dim_ServiceType!$A$2:$A$16,0)),"Yes","No"))</f>
        <v>No</v>
      </c>
      <c r="P833" s="7" t="str">
        <f t="shared" si="51"/>
        <v>Closed</v>
      </c>
      <c r="Q833" s="6">
        <v>4</v>
      </c>
      <c r="R833" s="7" t="s">
        <v>196</v>
      </c>
    </row>
    <row r="834" spans="1:18" x14ac:dyDescent="0.35">
      <c r="A834" s="6">
        <v>833</v>
      </c>
      <c r="B834" s="7" t="s">
        <v>1030</v>
      </c>
      <c r="C834" s="6">
        <v>9</v>
      </c>
      <c r="D834" s="6">
        <v>9</v>
      </c>
      <c r="E834" s="6">
        <v>5</v>
      </c>
      <c r="F834" s="6">
        <v>5</v>
      </c>
      <c r="G834" s="9">
        <v>45794.999583333301</v>
      </c>
      <c r="H834" s="9">
        <v>45795.124583333301</v>
      </c>
      <c r="I834" s="9">
        <v>45795.399583333303</v>
      </c>
      <c r="J834" s="9">
        <v>45795.420416666697</v>
      </c>
      <c r="K834" s="7" t="s">
        <v>198</v>
      </c>
      <c r="L834" s="10">
        <f t="shared" ref="L834:L897" si="52">IF(ISBLANK(H834),"",(H834-G834)*24)</f>
        <v>3</v>
      </c>
      <c r="M834" s="10">
        <f t="shared" ref="M834:M897" si="53">IF(ISBLANK(I834),"",(I834-H834)*24)</f>
        <v>6.6000000000349246</v>
      </c>
      <c r="N834" s="10">
        <f t="shared" ref="N834:N897" si="54">IF(ISBLANK(J834),"",(J834-G834)*24)</f>
        <v>10.100000001490116</v>
      </c>
      <c r="O834" s="7" t="str">
        <f>IF(ISBLANK(I834),"N/A",IF(((I834-H834)*24)&gt;INDEX(Dim_ServiceType!$E$2:$E$16,MATCH(E834,Dim_ServiceType!$A$2:$A$16,0)),"Yes","No"))</f>
        <v>No</v>
      </c>
      <c r="P834" s="7" t="str">
        <f t="shared" ref="P834:P897" si="55">IF(ISBLANK(H834),"Open (Unassigned)",IF(ISBLANK(I834),"In Progress",IF(ISBLANK(J834),"Resolved (Pending Closure)","Closed")))</f>
        <v>Closed</v>
      </c>
      <c r="Q834" s="6">
        <v>1</v>
      </c>
      <c r="R834" s="7" t="s">
        <v>196</v>
      </c>
    </row>
    <row r="835" spans="1:18" x14ac:dyDescent="0.35">
      <c r="A835" s="6">
        <v>834</v>
      </c>
      <c r="B835" s="7" t="s">
        <v>1031</v>
      </c>
      <c r="C835" s="6">
        <v>11</v>
      </c>
      <c r="D835" s="6">
        <v>10</v>
      </c>
      <c r="E835" s="6">
        <v>8</v>
      </c>
      <c r="F835" s="6">
        <v>15</v>
      </c>
      <c r="G835" s="9">
        <v>45900.222511574102</v>
      </c>
      <c r="H835" s="9">
        <v>45900.472511574102</v>
      </c>
      <c r="I835" s="9">
        <v>45900.618344907401</v>
      </c>
      <c r="J835" s="9">
        <v>45901.118344907401</v>
      </c>
      <c r="K835" s="7" t="s">
        <v>198</v>
      </c>
      <c r="L835" s="10">
        <f t="shared" si="52"/>
        <v>6</v>
      </c>
      <c r="M835" s="10">
        <f t="shared" si="53"/>
        <v>3.4999999991850927</v>
      </c>
      <c r="N835" s="10">
        <f t="shared" si="54"/>
        <v>21.499999999185093</v>
      </c>
      <c r="O835" s="7" t="str">
        <f>IF(ISBLANK(I835),"N/A",IF(((I835-H835)*24)&gt;INDEX(Dim_ServiceType!$E$2:$E$16,MATCH(E835,Dim_ServiceType!$A$2:$A$16,0)),"Yes","No"))</f>
        <v>No</v>
      </c>
      <c r="P835" s="7" t="str">
        <f t="shared" si="55"/>
        <v>Closed</v>
      </c>
      <c r="Q835" s="6">
        <v>5</v>
      </c>
      <c r="R835" s="7" t="s">
        <v>196</v>
      </c>
    </row>
    <row r="836" spans="1:18" x14ac:dyDescent="0.35">
      <c r="A836" s="6">
        <v>835</v>
      </c>
      <c r="B836" s="7" t="s">
        <v>1032</v>
      </c>
      <c r="C836" s="6">
        <v>15</v>
      </c>
      <c r="D836" s="6">
        <v>4</v>
      </c>
      <c r="E836" s="6">
        <v>14</v>
      </c>
      <c r="F836" s="6">
        <v>10</v>
      </c>
      <c r="G836" s="9">
        <v>45998.055972222202</v>
      </c>
      <c r="H836" s="9"/>
      <c r="I836" s="9"/>
      <c r="J836" s="9"/>
      <c r="K836" s="7" t="s">
        <v>198</v>
      </c>
      <c r="L836" s="10" t="str">
        <f t="shared" si="52"/>
        <v/>
      </c>
      <c r="M836" s="10" t="str">
        <f t="shared" si="53"/>
        <v/>
      </c>
      <c r="N836" s="10" t="str">
        <f t="shared" si="54"/>
        <v/>
      </c>
      <c r="O836" s="7" t="str">
        <f>IF(ISBLANK(I836),"N/A",IF(((I836-H836)*24)&gt;INDEX(Dim_ServiceType!$E$2:$E$16,MATCH(E836,Dim_ServiceType!$A$2:$A$16,0)),"Yes","No"))</f>
        <v>N/A</v>
      </c>
      <c r="P836" s="7" t="str">
        <f t="shared" si="55"/>
        <v>Open (Unassigned)</v>
      </c>
      <c r="Q836" s="6"/>
      <c r="R836" s="7"/>
    </row>
    <row r="837" spans="1:18" x14ac:dyDescent="0.35">
      <c r="A837" s="6">
        <v>836</v>
      </c>
      <c r="B837" s="7" t="s">
        <v>1033</v>
      </c>
      <c r="C837" s="6">
        <v>7</v>
      </c>
      <c r="D837" s="6">
        <v>1</v>
      </c>
      <c r="E837" s="6">
        <v>15</v>
      </c>
      <c r="F837" s="6">
        <v>12</v>
      </c>
      <c r="G837" s="9">
        <v>45896.679884259298</v>
      </c>
      <c r="H837" s="9">
        <v>45896.763217592597</v>
      </c>
      <c r="I837" s="9">
        <v>45899.221550925897</v>
      </c>
      <c r="J837" s="9">
        <v>45899.721550925897</v>
      </c>
      <c r="K837" s="7" t="s">
        <v>195</v>
      </c>
      <c r="L837" s="10">
        <f t="shared" si="52"/>
        <v>1.9999999991850927</v>
      </c>
      <c r="M837" s="10">
        <f t="shared" si="53"/>
        <v>58.999999999185093</v>
      </c>
      <c r="N837" s="10">
        <f t="shared" si="54"/>
        <v>72.999999998370185</v>
      </c>
      <c r="O837" s="7" t="str">
        <f>IF(ISBLANK(I837),"N/A",IF(((I837-H837)*24)&gt;INDEX(Dim_ServiceType!$E$2:$E$16,MATCH(E837,Dim_ServiceType!$A$2:$A$16,0)),"Yes","No"))</f>
        <v>Yes</v>
      </c>
      <c r="P837" s="7" t="str">
        <f t="shared" si="55"/>
        <v>Closed</v>
      </c>
      <c r="Q837" s="6">
        <v>4</v>
      </c>
      <c r="R837" s="7" t="s">
        <v>196</v>
      </c>
    </row>
    <row r="838" spans="1:18" x14ac:dyDescent="0.35">
      <c r="A838" s="6">
        <v>837</v>
      </c>
      <c r="B838" s="7" t="s">
        <v>1034</v>
      </c>
      <c r="C838" s="6">
        <v>15</v>
      </c>
      <c r="D838" s="6">
        <v>9</v>
      </c>
      <c r="E838" s="6">
        <v>8</v>
      </c>
      <c r="F838" s="6">
        <v>13</v>
      </c>
      <c r="G838" s="9">
        <v>45890.274004629602</v>
      </c>
      <c r="H838" s="9">
        <v>45890.399004629602</v>
      </c>
      <c r="I838" s="9">
        <v>45890.657337962999</v>
      </c>
      <c r="J838" s="9">
        <v>45890.907337962999</v>
      </c>
      <c r="K838" s="7" t="s">
        <v>200</v>
      </c>
      <c r="L838" s="10">
        <f t="shared" si="52"/>
        <v>3</v>
      </c>
      <c r="M838" s="10">
        <f t="shared" si="53"/>
        <v>6.2000000015250407</v>
      </c>
      <c r="N838" s="10">
        <f t="shared" si="54"/>
        <v>15.200000001525041</v>
      </c>
      <c r="O838" s="7" t="str">
        <f>IF(ISBLANK(I838),"N/A",IF(((I838-H838)*24)&gt;INDEX(Dim_ServiceType!$E$2:$E$16,MATCH(E838,Dim_ServiceType!$A$2:$A$16,0)),"Yes","No"))</f>
        <v>Yes</v>
      </c>
      <c r="P838" s="7" t="str">
        <f t="shared" si="55"/>
        <v>Closed</v>
      </c>
      <c r="Q838" s="6">
        <v>5</v>
      </c>
      <c r="R838" s="7" t="s">
        <v>196</v>
      </c>
    </row>
    <row r="839" spans="1:18" x14ac:dyDescent="0.35">
      <c r="A839" s="6">
        <v>838</v>
      </c>
      <c r="B839" s="7" t="s">
        <v>1035</v>
      </c>
      <c r="C839" s="6">
        <v>15</v>
      </c>
      <c r="D839" s="6">
        <v>7</v>
      </c>
      <c r="E839" s="6">
        <v>9</v>
      </c>
      <c r="F839" s="6">
        <v>11</v>
      </c>
      <c r="G839" s="9">
        <v>45884.048831018503</v>
      </c>
      <c r="H839" s="9">
        <v>45884.173831018503</v>
      </c>
      <c r="I839" s="9">
        <v>45887.661331018498</v>
      </c>
      <c r="J839" s="9">
        <v>45887.7446643519</v>
      </c>
      <c r="K839" s="7" t="s">
        <v>207</v>
      </c>
      <c r="L839" s="10">
        <f t="shared" si="52"/>
        <v>3</v>
      </c>
      <c r="M839" s="10">
        <f t="shared" si="53"/>
        <v>83.699999999895226</v>
      </c>
      <c r="N839" s="10">
        <f t="shared" si="54"/>
        <v>88.700000001525041</v>
      </c>
      <c r="O839" s="7" t="str">
        <f>IF(ISBLANK(I839),"N/A",IF(((I839-H839)*24)&gt;INDEX(Dim_ServiceType!$E$2:$E$16,MATCH(E839,Dim_ServiceType!$A$2:$A$16,0)),"Yes","No"))</f>
        <v>Yes</v>
      </c>
      <c r="P839" s="7" t="str">
        <f t="shared" si="55"/>
        <v>Closed</v>
      </c>
      <c r="Q839" s="6">
        <v>5</v>
      </c>
      <c r="R839" s="7" t="s">
        <v>196</v>
      </c>
    </row>
    <row r="840" spans="1:18" x14ac:dyDescent="0.35">
      <c r="A840" s="6">
        <v>839</v>
      </c>
      <c r="B840" s="7" t="s">
        <v>1036</v>
      </c>
      <c r="C840" s="6">
        <v>12</v>
      </c>
      <c r="D840" s="6">
        <v>15</v>
      </c>
      <c r="E840" s="6">
        <v>14</v>
      </c>
      <c r="F840" s="6">
        <v>13</v>
      </c>
      <c r="G840" s="9">
        <v>45721.6284606482</v>
      </c>
      <c r="H840" s="9">
        <v>45721.670127314799</v>
      </c>
      <c r="I840" s="9">
        <v>45721.853460648199</v>
      </c>
      <c r="J840" s="9">
        <v>45721.895127314798</v>
      </c>
      <c r="K840" s="7" t="s">
        <v>195</v>
      </c>
      <c r="L840" s="10">
        <f t="shared" si="52"/>
        <v>0.99999999837018549</v>
      </c>
      <c r="M840" s="10">
        <f t="shared" si="53"/>
        <v>4.4000000015948899</v>
      </c>
      <c r="N840" s="10">
        <f t="shared" si="54"/>
        <v>6.3999999983352609</v>
      </c>
      <c r="O840" s="7" t="str">
        <f>IF(ISBLANK(I840),"N/A",IF(((I840-H840)*24)&gt;INDEX(Dim_ServiceType!$E$2:$E$16,MATCH(E840,Dim_ServiceType!$A$2:$A$16,0)),"Yes","No"))</f>
        <v>No</v>
      </c>
      <c r="P840" s="7" t="str">
        <f t="shared" si="55"/>
        <v>Closed</v>
      </c>
      <c r="Q840" s="6">
        <v>3</v>
      </c>
      <c r="R840" s="7" t="s">
        <v>196</v>
      </c>
    </row>
    <row r="841" spans="1:18" x14ac:dyDescent="0.35">
      <c r="A841" s="6">
        <v>840</v>
      </c>
      <c r="B841" s="7" t="s">
        <v>1037</v>
      </c>
      <c r="C841" s="6">
        <v>10</v>
      </c>
      <c r="D841" s="6">
        <v>7</v>
      </c>
      <c r="E841" s="6">
        <v>11</v>
      </c>
      <c r="F841" s="6">
        <v>2</v>
      </c>
      <c r="G841" s="9">
        <v>45929.762800925899</v>
      </c>
      <c r="H841" s="9">
        <v>45929.8461342593</v>
      </c>
      <c r="I841" s="9">
        <v>45930.487800925897</v>
      </c>
      <c r="J841" s="9">
        <v>45930.987800925897</v>
      </c>
      <c r="K841" s="7" t="s">
        <v>207</v>
      </c>
      <c r="L841" s="10">
        <f t="shared" si="52"/>
        <v>2.0000000016298145</v>
      </c>
      <c r="M841" s="10">
        <f t="shared" si="53"/>
        <v>15.399999998335261</v>
      </c>
      <c r="N841" s="10">
        <f t="shared" si="54"/>
        <v>29.399999999965075</v>
      </c>
      <c r="O841" s="7" t="str">
        <f>IF(ISBLANK(I841),"N/A",IF(((I841-H841)*24)&gt;INDEX(Dim_ServiceType!$E$2:$E$16,MATCH(E841,Dim_ServiceType!$A$2:$A$16,0)),"Yes","No"))</f>
        <v>Yes</v>
      </c>
      <c r="P841" s="7" t="str">
        <f t="shared" si="55"/>
        <v>Closed</v>
      </c>
      <c r="Q841" s="6">
        <v>5</v>
      </c>
      <c r="R841" s="7" t="s">
        <v>196</v>
      </c>
    </row>
    <row r="842" spans="1:18" x14ac:dyDescent="0.35">
      <c r="A842" s="6">
        <v>841</v>
      </c>
      <c r="B842" s="7" t="s">
        <v>1038</v>
      </c>
      <c r="C842" s="6">
        <v>11</v>
      </c>
      <c r="D842" s="6">
        <v>10</v>
      </c>
      <c r="E842" s="6">
        <v>3</v>
      </c>
      <c r="F842" s="6">
        <v>15</v>
      </c>
      <c r="G842" s="9">
        <v>45962.012175925898</v>
      </c>
      <c r="H842" s="9">
        <v>45962.137175925898</v>
      </c>
      <c r="I842" s="9">
        <v>45962.278842592597</v>
      </c>
      <c r="J842" s="9">
        <v>45962.778842592597</v>
      </c>
      <c r="K842" s="7" t="s">
        <v>198</v>
      </c>
      <c r="L842" s="10">
        <f t="shared" si="52"/>
        <v>3</v>
      </c>
      <c r="M842" s="10">
        <f t="shared" si="53"/>
        <v>3.4000000007799827</v>
      </c>
      <c r="N842" s="10">
        <f t="shared" si="54"/>
        <v>18.400000000779983</v>
      </c>
      <c r="O842" s="7" t="str">
        <f>IF(ISBLANK(I842),"N/A",IF(((I842-H842)*24)&gt;INDEX(Dim_ServiceType!$E$2:$E$16,MATCH(E842,Dim_ServiceType!$A$2:$A$16,0)),"Yes","No"))</f>
        <v>No</v>
      </c>
      <c r="P842" s="7" t="str">
        <f t="shared" si="55"/>
        <v>Closed</v>
      </c>
      <c r="Q842" s="6">
        <v>5</v>
      </c>
      <c r="R842" s="7" t="s">
        <v>196</v>
      </c>
    </row>
    <row r="843" spans="1:18" x14ac:dyDescent="0.35">
      <c r="A843" s="6">
        <v>842</v>
      </c>
      <c r="B843" s="7" t="s">
        <v>1039</v>
      </c>
      <c r="C843" s="6">
        <v>6</v>
      </c>
      <c r="D843" s="6">
        <v>8</v>
      </c>
      <c r="E843" s="6">
        <v>13</v>
      </c>
      <c r="F843" s="6">
        <v>4</v>
      </c>
      <c r="G843" s="9">
        <v>45675.103506944499</v>
      </c>
      <c r="H843" s="9">
        <v>45675.124340277798</v>
      </c>
      <c r="I843" s="9">
        <v>45676.182673611103</v>
      </c>
      <c r="J843" s="9">
        <v>45677.182673611103</v>
      </c>
      <c r="K843" s="7" t="s">
        <v>207</v>
      </c>
      <c r="L843" s="10">
        <f t="shared" si="52"/>
        <v>0.49999999918509275</v>
      </c>
      <c r="M843" s="10">
        <f t="shared" si="53"/>
        <v>25.399999999324791</v>
      </c>
      <c r="N843" s="10">
        <f t="shared" si="54"/>
        <v>49.899999998509884</v>
      </c>
      <c r="O843" s="7" t="str">
        <f>IF(ISBLANK(I843),"N/A",IF(((I843-H843)*24)&gt;INDEX(Dim_ServiceType!$E$2:$E$16,MATCH(E843,Dim_ServiceType!$A$2:$A$16,0)),"Yes","No"))</f>
        <v>Yes</v>
      </c>
      <c r="P843" s="7" t="str">
        <f t="shared" si="55"/>
        <v>Closed</v>
      </c>
      <c r="Q843" s="6">
        <v>2</v>
      </c>
      <c r="R843" s="7" t="s">
        <v>196</v>
      </c>
    </row>
    <row r="844" spans="1:18" x14ac:dyDescent="0.35">
      <c r="A844" s="6">
        <v>843</v>
      </c>
      <c r="B844" s="7" t="s">
        <v>1040</v>
      </c>
      <c r="C844" s="6">
        <v>3</v>
      </c>
      <c r="D844" s="6">
        <v>10</v>
      </c>
      <c r="E844" s="6">
        <v>12</v>
      </c>
      <c r="F844" s="6">
        <v>4</v>
      </c>
      <c r="G844" s="9">
        <v>45858.4086342593</v>
      </c>
      <c r="H844" s="9">
        <v>45858.5336342593</v>
      </c>
      <c r="I844" s="9">
        <v>45862.133634259299</v>
      </c>
      <c r="J844" s="9">
        <v>45863.133634259299</v>
      </c>
      <c r="K844" s="7" t="s">
        <v>192</v>
      </c>
      <c r="L844" s="10">
        <f t="shared" si="52"/>
        <v>3</v>
      </c>
      <c r="M844" s="10">
        <f t="shared" si="53"/>
        <v>86.399999999965075</v>
      </c>
      <c r="N844" s="10">
        <f t="shared" si="54"/>
        <v>113.39999999996508</v>
      </c>
      <c r="O844" s="7" t="str">
        <f>IF(ISBLANK(I844),"N/A",IF(((I844-H844)*24)&gt;INDEX(Dim_ServiceType!$E$2:$E$16,MATCH(E844,Dim_ServiceType!$A$2:$A$16,0)),"Yes","No"))</f>
        <v>Yes</v>
      </c>
      <c r="P844" s="7" t="str">
        <f t="shared" si="55"/>
        <v>Closed</v>
      </c>
      <c r="Q844" s="6">
        <v>5</v>
      </c>
      <c r="R844" s="7" t="s">
        <v>196</v>
      </c>
    </row>
    <row r="845" spans="1:18" x14ac:dyDescent="0.35">
      <c r="A845" s="6">
        <v>844</v>
      </c>
      <c r="B845" s="7" t="s">
        <v>1041</v>
      </c>
      <c r="C845" s="6">
        <v>6</v>
      </c>
      <c r="D845" s="6">
        <v>5</v>
      </c>
      <c r="E845" s="6">
        <v>10</v>
      </c>
      <c r="F845" s="6">
        <v>1</v>
      </c>
      <c r="G845" s="9">
        <v>45859.521886574097</v>
      </c>
      <c r="H845" s="9">
        <v>45859.605219907397</v>
      </c>
      <c r="I845" s="9">
        <v>45859.863553240699</v>
      </c>
      <c r="J845" s="9">
        <v>45860.113553240699</v>
      </c>
      <c r="K845" s="7" t="s">
        <v>195</v>
      </c>
      <c r="L845" s="10">
        <f t="shared" si="52"/>
        <v>1.9999999991850927</v>
      </c>
      <c r="M845" s="10">
        <f t="shared" si="53"/>
        <v>6.1999999992549419</v>
      </c>
      <c r="N845" s="10">
        <f t="shared" si="54"/>
        <v>14.199999998440035</v>
      </c>
      <c r="O845" s="7" t="str">
        <f>IF(ISBLANK(I845),"N/A",IF(((I845-H845)*24)&gt;INDEX(Dim_ServiceType!$E$2:$E$16,MATCH(E845,Dim_ServiceType!$A$2:$A$16,0)),"Yes","No"))</f>
        <v>Yes</v>
      </c>
      <c r="P845" s="7" t="str">
        <f t="shared" si="55"/>
        <v>Closed</v>
      </c>
      <c r="Q845" s="6">
        <v>1</v>
      </c>
      <c r="R845" s="7" t="s">
        <v>196</v>
      </c>
    </row>
    <row r="846" spans="1:18" x14ac:dyDescent="0.35">
      <c r="A846" s="6">
        <v>845</v>
      </c>
      <c r="B846" s="7" t="s">
        <v>1042</v>
      </c>
      <c r="C846" s="6">
        <v>9</v>
      </c>
      <c r="D846" s="6">
        <v>3</v>
      </c>
      <c r="E846" s="6">
        <v>6</v>
      </c>
      <c r="F846" s="6">
        <v>3</v>
      </c>
      <c r="G846" s="9">
        <v>45658.027187500003</v>
      </c>
      <c r="H846" s="9">
        <v>45658.152187500003</v>
      </c>
      <c r="I846" s="9">
        <v>45659.460520833301</v>
      </c>
      <c r="J846" s="9">
        <v>45659.481354166703</v>
      </c>
      <c r="K846" s="7" t="s">
        <v>200</v>
      </c>
      <c r="L846" s="10">
        <f t="shared" si="52"/>
        <v>3</v>
      </c>
      <c r="M846" s="10">
        <f t="shared" si="53"/>
        <v>31.399999999150168</v>
      </c>
      <c r="N846" s="10">
        <f t="shared" si="54"/>
        <v>34.900000000779983</v>
      </c>
      <c r="O846" s="7" t="str">
        <f>IF(ISBLANK(I846),"N/A",IF(((I846-H846)*24)&gt;INDEX(Dim_ServiceType!$E$2:$E$16,MATCH(E846,Dim_ServiceType!$A$2:$A$16,0)),"Yes","No"))</f>
        <v>No</v>
      </c>
      <c r="P846" s="7" t="str">
        <f t="shared" si="55"/>
        <v>Closed</v>
      </c>
      <c r="Q846" s="6">
        <v>4</v>
      </c>
      <c r="R846" s="7" t="s">
        <v>196</v>
      </c>
    </row>
    <row r="847" spans="1:18" x14ac:dyDescent="0.35">
      <c r="A847" s="6">
        <v>846</v>
      </c>
      <c r="B847" s="7" t="s">
        <v>1043</v>
      </c>
      <c r="C847" s="6">
        <v>14</v>
      </c>
      <c r="D847" s="6">
        <v>2</v>
      </c>
      <c r="E847" s="6">
        <v>11</v>
      </c>
      <c r="F847" s="6">
        <v>11</v>
      </c>
      <c r="G847" s="9">
        <v>45834.676828703698</v>
      </c>
      <c r="H847" s="9">
        <v>45834.801828703698</v>
      </c>
      <c r="I847" s="9">
        <v>45835.418495370403</v>
      </c>
      <c r="J847" s="9">
        <v>45835.918495370403</v>
      </c>
      <c r="K847" s="7" t="s">
        <v>200</v>
      </c>
      <c r="L847" s="10">
        <f t="shared" si="52"/>
        <v>3</v>
      </c>
      <c r="M847" s="10">
        <f t="shared" si="53"/>
        <v>14.800000000919681</v>
      </c>
      <c r="N847" s="10">
        <f t="shared" si="54"/>
        <v>29.800000000919681</v>
      </c>
      <c r="O847" s="7" t="str">
        <f>IF(ISBLANK(I847),"N/A",IF(((I847-H847)*24)&gt;INDEX(Dim_ServiceType!$E$2:$E$16,MATCH(E847,Dim_ServiceType!$A$2:$A$16,0)),"Yes","No"))</f>
        <v>Yes</v>
      </c>
      <c r="P847" s="7" t="str">
        <f t="shared" si="55"/>
        <v>Closed</v>
      </c>
      <c r="Q847" s="6">
        <v>4</v>
      </c>
      <c r="R847" s="7" t="s">
        <v>196</v>
      </c>
    </row>
    <row r="848" spans="1:18" x14ac:dyDescent="0.35">
      <c r="A848" s="6">
        <v>847</v>
      </c>
      <c r="B848" s="7" t="s">
        <v>1044</v>
      </c>
      <c r="C848" s="6">
        <v>14</v>
      </c>
      <c r="D848" s="6">
        <v>4</v>
      </c>
      <c r="E848" s="6">
        <v>1</v>
      </c>
      <c r="F848" s="6">
        <v>13</v>
      </c>
      <c r="G848" s="9">
        <v>45767.446504629603</v>
      </c>
      <c r="H848" s="9">
        <v>45768.446504629603</v>
      </c>
      <c r="I848" s="9">
        <v>45768.529837962997</v>
      </c>
      <c r="J848" s="9">
        <v>45769.529837962997</v>
      </c>
      <c r="K848" s="7" t="s">
        <v>198</v>
      </c>
      <c r="L848" s="10">
        <f t="shared" si="52"/>
        <v>24</v>
      </c>
      <c r="M848" s="10">
        <f t="shared" si="53"/>
        <v>2.0000000014551915</v>
      </c>
      <c r="N848" s="10">
        <f t="shared" si="54"/>
        <v>50.000000001455192</v>
      </c>
      <c r="O848" s="7" t="str">
        <f>IF(ISBLANK(I848),"N/A",IF(((I848-H848)*24)&gt;INDEX(Dim_ServiceType!$E$2:$E$16,MATCH(E848,Dim_ServiceType!$A$2:$A$16,0)),"Yes","No"))</f>
        <v>No</v>
      </c>
      <c r="P848" s="7" t="str">
        <f t="shared" si="55"/>
        <v>Closed</v>
      </c>
      <c r="Q848" s="6">
        <v>5</v>
      </c>
      <c r="R848" s="7" t="s">
        <v>196</v>
      </c>
    </row>
    <row r="849" spans="1:18" x14ac:dyDescent="0.35">
      <c r="A849" s="6">
        <v>848</v>
      </c>
      <c r="B849" s="7" t="s">
        <v>1045</v>
      </c>
      <c r="C849" s="6">
        <v>5</v>
      </c>
      <c r="D849" s="6">
        <v>5</v>
      </c>
      <c r="E849" s="6">
        <v>15</v>
      </c>
      <c r="F849" s="6">
        <v>5</v>
      </c>
      <c r="G849" s="9">
        <v>45971.236701388902</v>
      </c>
      <c r="H849" s="9">
        <v>45971.570034722201</v>
      </c>
      <c r="I849" s="9">
        <v>45974.811701388899</v>
      </c>
      <c r="J849" s="9">
        <v>45974.978368055599</v>
      </c>
      <c r="K849" s="7" t="s">
        <v>192</v>
      </c>
      <c r="L849" s="10">
        <f t="shared" si="52"/>
        <v>7.9999999991850927</v>
      </c>
      <c r="M849" s="10">
        <f t="shared" si="53"/>
        <v>77.800000000745058</v>
      </c>
      <c r="N849" s="10">
        <f t="shared" si="54"/>
        <v>89.800000000745058</v>
      </c>
      <c r="O849" s="7" t="str">
        <f>IF(ISBLANK(I849),"N/A",IF(((I849-H849)*24)&gt;INDEX(Dim_ServiceType!$E$2:$E$16,MATCH(E849,Dim_ServiceType!$A$2:$A$16,0)),"Yes","No"))</f>
        <v>Yes</v>
      </c>
      <c r="P849" s="7" t="str">
        <f t="shared" si="55"/>
        <v>Closed</v>
      </c>
      <c r="Q849" s="6">
        <v>5</v>
      </c>
      <c r="R849" s="7" t="s">
        <v>196</v>
      </c>
    </row>
    <row r="850" spans="1:18" x14ac:dyDescent="0.35">
      <c r="A850" s="6">
        <v>849</v>
      </c>
      <c r="B850" s="7" t="s">
        <v>1046</v>
      </c>
      <c r="C850" s="6">
        <v>11</v>
      </c>
      <c r="D850" s="6">
        <v>15</v>
      </c>
      <c r="E850" s="6">
        <v>10</v>
      </c>
      <c r="F850" s="6">
        <v>3</v>
      </c>
      <c r="G850" s="9">
        <v>45737.201377314799</v>
      </c>
      <c r="H850" s="9">
        <v>45737.951377314799</v>
      </c>
      <c r="I850" s="9">
        <v>45738.030543981498</v>
      </c>
      <c r="J850" s="9">
        <v>45738.530543981498</v>
      </c>
      <c r="K850" s="7" t="s">
        <v>198</v>
      </c>
      <c r="L850" s="10">
        <f t="shared" si="52"/>
        <v>18</v>
      </c>
      <c r="M850" s="10">
        <f t="shared" si="53"/>
        <v>1.9000000007799827</v>
      </c>
      <c r="N850" s="10">
        <f t="shared" si="54"/>
        <v>31.900000000779983</v>
      </c>
      <c r="O850" s="7" t="str">
        <f>IF(ISBLANK(I850),"N/A",IF(((I850-H850)*24)&gt;INDEX(Dim_ServiceType!$E$2:$E$16,MATCH(E850,Dim_ServiceType!$A$2:$A$16,0)),"Yes","No"))</f>
        <v>No</v>
      </c>
      <c r="P850" s="7" t="str">
        <f t="shared" si="55"/>
        <v>Closed</v>
      </c>
      <c r="Q850" s="6">
        <v>4</v>
      </c>
      <c r="R850" s="7" t="s">
        <v>196</v>
      </c>
    </row>
    <row r="851" spans="1:18" x14ac:dyDescent="0.35">
      <c r="A851" s="6">
        <v>850</v>
      </c>
      <c r="B851" s="7" t="s">
        <v>1047</v>
      </c>
      <c r="C851" s="6">
        <v>7</v>
      </c>
      <c r="D851" s="6">
        <v>11</v>
      </c>
      <c r="E851" s="6">
        <v>2</v>
      </c>
      <c r="F851" s="6">
        <v>3</v>
      </c>
      <c r="G851" s="9">
        <v>45872.1323611111</v>
      </c>
      <c r="H851" s="9">
        <v>45872.299027777801</v>
      </c>
      <c r="I851" s="9">
        <v>45872.574027777802</v>
      </c>
      <c r="J851" s="9">
        <v>45872.740694444401</v>
      </c>
      <c r="K851" s="7" t="s">
        <v>200</v>
      </c>
      <c r="L851" s="10">
        <f t="shared" si="52"/>
        <v>4.0000000008149073</v>
      </c>
      <c r="M851" s="10">
        <f t="shared" si="53"/>
        <v>6.6000000000349246</v>
      </c>
      <c r="N851" s="10">
        <f t="shared" si="54"/>
        <v>14.599999999220017</v>
      </c>
      <c r="O851" s="7" t="str">
        <f>IF(ISBLANK(I851),"N/A",IF(((I851-H851)*24)&gt;INDEX(Dim_ServiceType!$E$2:$E$16,MATCH(E851,Dim_ServiceType!$A$2:$A$16,0)),"Yes","No"))</f>
        <v>Yes</v>
      </c>
      <c r="P851" s="7" t="str">
        <f t="shared" si="55"/>
        <v>Closed</v>
      </c>
      <c r="Q851" s="6">
        <v>4</v>
      </c>
      <c r="R851" s="7" t="s">
        <v>196</v>
      </c>
    </row>
    <row r="852" spans="1:18" x14ac:dyDescent="0.35">
      <c r="A852" s="6">
        <v>851</v>
      </c>
      <c r="B852" s="7" t="s">
        <v>1048</v>
      </c>
      <c r="C852" s="6">
        <v>14</v>
      </c>
      <c r="D852" s="6">
        <v>9</v>
      </c>
      <c r="E852" s="6">
        <v>6</v>
      </c>
      <c r="F852" s="6">
        <v>7</v>
      </c>
      <c r="G852" s="9">
        <v>45874.009247685201</v>
      </c>
      <c r="H852" s="9">
        <v>45874.0300810185</v>
      </c>
      <c r="I852" s="9">
        <v>45875.755081018498</v>
      </c>
      <c r="J852" s="9">
        <v>45875.8384143519</v>
      </c>
      <c r="K852" s="7" t="s">
        <v>207</v>
      </c>
      <c r="L852" s="10">
        <f t="shared" si="52"/>
        <v>0.49999999918509275</v>
      </c>
      <c r="M852" s="10">
        <f t="shared" si="53"/>
        <v>41.399999999965075</v>
      </c>
      <c r="N852" s="10">
        <f t="shared" si="54"/>
        <v>43.900000000779983</v>
      </c>
      <c r="O852" s="7" t="str">
        <f>IF(ISBLANK(I852),"N/A",IF(((I852-H852)*24)&gt;INDEX(Dim_ServiceType!$E$2:$E$16,MATCH(E852,Dim_ServiceType!$A$2:$A$16,0)),"Yes","No"))</f>
        <v>No</v>
      </c>
      <c r="P852" s="7" t="str">
        <f t="shared" si="55"/>
        <v>Closed</v>
      </c>
      <c r="Q852" s="6">
        <v>4</v>
      </c>
      <c r="R852" s="7" t="s">
        <v>193</v>
      </c>
    </row>
    <row r="853" spans="1:18" x14ac:dyDescent="0.35">
      <c r="A853" s="6">
        <v>852</v>
      </c>
      <c r="B853" s="7" t="s">
        <v>1049</v>
      </c>
      <c r="C853" s="6">
        <v>4</v>
      </c>
      <c r="D853" s="6">
        <v>3</v>
      </c>
      <c r="E853" s="6">
        <v>4</v>
      </c>
      <c r="F853" s="6">
        <v>5</v>
      </c>
      <c r="G853" s="9">
        <v>45833.289317129602</v>
      </c>
      <c r="H853" s="9">
        <v>45833.789317129602</v>
      </c>
      <c r="I853" s="9">
        <v>45834.310150463003</v>
      </c>
      <c r="J853" s="9">
        <v>45834.351817129602</v>
      </c>
      <c r="K853" s="7" t="s">
        <v>195</v>
      </c>
      <c r="L853" s="10">
        <f t="shared" si="52"/>
        <v>12</v>
      </c>
      <c r="M853" s="10">
        <f t="shared" si="53"/>
        <v>12.500000001629815</v>
      </c>
      <c r="N853" s="10">
        <f t="shared" si="54"/>
        <v>25.5</v>
      </c>
      <c r="O853" s="7" t="str">
        <f>IF(ISBLANK(I853),"N/A",IF(((I853-H853)*24)&gt;INDEX(Dim_ServiceType!$E$2:$E$16,MATCH(E853,Dim_ServiceType!$A$2:$A$16,0)),"Yes","No"))</f>
        <v>No</v>
      </c>
      <c r="P853" s="7" t="str">
        <f t="shared" si="55"/>
        <v>Closed</v>
      </c>
      <c r="Q853" s="6">
        <v>5</v>
      </c>
      <c r="R853" s="7" t="s">
        <v>196</v>
      </c>
    </row>
    <row r="854" spans="1:18" x14ac:dyDescent="0.35">
      <c r="A854" s="6">
        <v>853</v>
      </c>
      <c r="B854" s="7" t="s">
        <v>1050</v>
      </c>
      <c r="C854" s="6">
        <v>6</v>
      </c>
      <c r="D854" s="6">
        <v>9</v>
      </c>
      <c r="E854" s="6">
        <v>3</v>
      </c>
      <c r="F854" s="6">
        <v>14</v>
      </c>
      <c r="G854" s="9">
        <v>45705.908391203702</v>
      </c>
      <c r="H854" s="9">
        <v>45705.991724537002</v>
      </c>
      <c r="I854" s="9">
        <v>45706.383391203701</v>
      </c>
      <c r="J854" s="9">
        <v>45706.404224537</v>
      </c>
      <c r="K854" s="7" t="s">
        <v>198</v>
      </c>
      <c r="L854" s="10">
        <f t="shared" si="52"/>
        <v>1.9999999991850927</v>
      </c>
      <c r="M854" s="10">
        <f t="shared" si="53"/>
        <v>9.4000000007799827</v>
      </c>
      <c r="N854" s="10">
        <f t="shared" si="54"/>
        <v>11.899999999150168</v>
      </c>
      <c r="O854" s="7" t="str">
        <f>IF(ISBLANK(I854),"N/A",IF(((I854-H854)*24)&gt;INDEX(Dim_ServiceType!$E$2:$E$16,MATCH(E854,Dim_ServiceType!$A$2:$A$16,0)),"Yes","No"))</f>
        <v>Yes</v>
      </c>
      <c r="P854" s="7" t="str">
        <f t="shared" si="55"/>
        <v>Closed</v>
      </c>
      <c r="Q854" s="6">
        <v>2</v>
      </c>
      <c r="R854" s="7" t="s">
        <v>196</v>
      </c>
    </row>
    <row r="855" spans="1:18" x14ac:dyDescent="0.35">
      <c r="A855" s="6">
        <v>854</v>
      </c>
      <c r="B855" s="7" t="s">
        <v>1051</v>
      </c>
      <c r="C855" s="6">
        <v>13</v>
      </c>
      <c r="D855" s="6">
        <v>14</v>
      </c>
      <c r="E855" s="6">
        <v>12</v>
      </c>
      <c r="F855" s="6">
        <v>15</v>
      </c>
      <c r="G855" s="9">
        <v>45992.2750578704</v>
      </c>
      <c r="H855" s="9">
        <v>45992.608391203699</v>
      </c>
      <c r="I855" s="9"/>
      <c r="J855" s="9"/>
      <c r="K855" s="7" t="s">
        <v>192</v>
      </c>
      <c r="L855" s="10">
        <f t="shared" si="52"/>
        <v>7.9999999991850927</v>
      </c>
      <c r="M855" s="10" t="str">
        <f t="shared" si="53"/>
        <v/>
      </c>
      <c r="N855" s="10" t="str">
        <f t="shared" si="54"/>
        <v/>
      </c>
      <c r="O855" s="7" t="str">
        <f>IF(ISBLANK(I855),"N/A",IF(((I855-H855)*24)&gt;INDEX(Dim_ServiceType!$E$2:$E$16,MATCH(E855,Dim_ServiceType!$A$2:$A$16,0)),"Yes","No"))</f>
        <v>N/A</v>
      </c>
      <c r="P855" s="7" t="str">
        <f t="shared" si="55"/>
        <v>In Progress</v>
      </c>
      <c r="Q855" s="6"/>
      <c r="R855" s="7"/>
    </row>
    <row r="856" spans="1:18" x14ac:dyDescent="0.35">
      <c r="A856" s="6">
        <v>855</v>
      </c>
      <c r="B856" s="7" t="s">
        <v>1052</v>
      </c>
      <c r="C856" s="6">
        <v>15</v>
      </c>
      <c r="D856" s="6">
        <v>13</v>
      </c>
      <c r="E856" s="6">
        <v>10</v>
      </c>
      <c r="F856" s="6">
        <v>13</v>
      </c>
      <c r="G856" s="9">
        <v>45848.399826388901</v>
      </c>
      <c r="H856" s="9">
        <v>45848.566493055601</v>
      </c>
      <c r="I856" s="9">
        <v>45848.770659722199</v>
      </c>
      <c r="J856" s="9">
        <v>45848.812326388899</v>
      </c>
      <c r="K856" s="7" t="s">
        <v>207</v>
      </c>
      <c r="L856" s="10">
        <f t="shared" si="52"/>
        <v>4.0000000008149073</v>
      </c>
      <c r="M856" s="10">
        <f t="shared" si="53"/>
        <v>4.8999999983352609</v>
      </c>
      <c r="N856" s="10">
        <f t="shared" si="54"/>
        <v>9.8999999999650754</v>
      </c>
      <c r="O856" s="7" t="str">
        <f>IF(ISBLANK(I856),"N/A",IF(((I856-H856)*24)&gt;INDEX(Dim_ServiceType!$E$2:$E$16,MATCH(E856,Dim_ServiceType!$A$2:$A$16,0)),"Yes","No"))</f>
        <v>No</v>
      </c>
      <c r="P856" s="7" t="str">
        <f t="shared" si="55"/>
        <v>Closed</v>
      </c>
      <c r="Q856" s="6">
        <v>4</v>
      </c>
      <c r="R856" s="7" t="s">
        <v>196</v>
      </c>
    </row>
    <row r="857" spans="1:18" x14ac:dyDescent="0.35">
      <c r="A857" s="6">
        <v>856</v>
      </c>
      <c r="B857" s="7" t="s">
        <v>1053</v>
      </c>
      <c r="C857" s="6">
        <v>13</v>
      </c>
      <c r="D857" s="6">
        <v>14</v>
      </c>
      <c r="E857" s="6">
        <v>2</v>
      </c>
      <c r="F857" s="6">
        <v>11</v>
      </c>
      <c r="G857" s="9">
        <v>45767.195949074099</v>
      </c>
      <c r="H857" s="9">
        <v>45767.695949074099</v>
      </c>
      <c r="I857" s="9">
        <v>45767.775115740696</v>
      </c>
      <c r="J857" s="9">
        <v>45768.775115740696</v>
      </c>
      <c r="K857" s="7" t="s">
        <v>207</v>
      </c>
      <c r="L857" s="10">
        <f t="shared" si="52"/>
        <v>12</v>
      </c>
      <c r="M857" s="10">
        <f t="shared" si="53"/>
        <v>1.8999999983352609</v>
      </c>
      <c r="N857" s="10">
        <f t="shared" si="54"/>
        <v>37.899999998335261</v>
      </c>
      <c r="O857" s="7" t="str">
        <f>IF(ISBLANK(I857),"N/A",IF(((I857-H857)*24)&gt;INDEX(Dim_ServiceType!$E$2:$E$16,MATCH(E857,Dim_ServiceType!$A$2:$A$16,0)),"Yes","No"))</f>
        <v>No</v>
      </c>
      <c r="P857" s="7" t="str">
        <f t="shared" si="55"/>
        <v>Closed</v>
      </c>
      <c r="Q857" s="6">
        <v>5</v>
      </c>
      <c r="R857" s="7" t="s">
        <v>193</v>
      </c>
    </row>
    <row r="858" spans="1:18" x14ac:dyDescent="0.35">
      <c r="A858" s="6">
        <v>857</v>
      </c>
      <c r="B858" s="7" t="s">
        <v>1054</v>
      </c>
      <c r="C858" s="6">
        <v>6</v>
      </c>
      <c r="D858" s="6">
        <v>7</v>
      </c>
      <c r="E858" s="6">
        <v>6</v>
      </c>
      <c r="F858" s="6">
        <v>5</v>
      </c>
      <c r="G858" s="9">
        <v>45884.916435185201</v>
      </c>
      <c r="H858" s="9">
        <v>45885.416435185201</v>
      </c>
      <c r="I858" s="9">
        <v>45887.333101851902</v>
      </c>
      <c r="J858" s="9">
        <v>45887.833101851902</v>
      </c>
      <c r="K858" s="7" t="s">
        <v>198</v>
      </c>
      <c r="L858" s="10">
        <f t="shared" si="52"/>
        <v>12</v>
      </c>
      <c r="M858" s="10">
        <f t="shared" si="53"/>
        <v>46.000000000814907</v>
      </c>
      <c r="N858" s="10">
        <f t="shared" si="54"/>
        <v>70.000000000814907</v>
      </c>
      <c r="O858" s="7" t="str">
        <f>IF(ISBLANK(I858),"N/A",IF(((I858-H858)*24)&gt;INDEX(Dim_ServiceType!$E$2:$E$16,MATCH(E858,Dim_ServiceType!$A$2:$A$16,0)),"Yes","No"))</f>
        <v>No</v>
      </c>
      <c r="P858" s="7" t="str">
        <f t="shared" si="55"/>
        <v>Closed</v>
      </c>
      <c r="Q858" s="6">
        <v>3</v>
      </c>
      <c r="R858" s="7" t="s">
        <v>196</v>
      </c>
    </row>
    <row r="859" spans="1:18" x14ac:dyDescent="0.35">
      <c r="A859" s="6">
        <v>858</v>
      </c>
      <c r="B859" s="7" t="s">
        <v>1055</v>
      </c>
      <c r="C859" s="6">
        <v>13</v>
      </c>
      <c r="D859" s="6">
        <v>14</v>
      </c>
      <c r="E859" s="6">
        <v>9</v>
      </c>
      <c r="F859" s="6">
        <v>15</v>
      </c>
      <c r="G859" s="9">
        <v>45683.524178240703</v>
      </c>
      <c r="H859" s="9">
        <v>45683.607511574097</v>
      </c>
      <c r="I859" s="9">
        <v>45686.940844907404</v>
      </c>
      <c r="J859" s="9">
        <v>45687.024178240703</v>
      </c>
      <c r="K859" s="7" t="s">
        <v>198</v>
      </c>
      <c r="L859" s="10">
        <f t="shared" si="52"/>
        <v>2.0000000014551915</v>
      </c>
      <c r="M859" s="10">
        <f t="shared" si="53"/>
        <v>79.999999999359716</v>
      </c>
      <c r="N859" s="10">
        <f t="shared" si="54"/>
        <v>84</v>
      </c>
      <c r="O859" s="7" t="str">
        <f>IF(ISBLANK(I859),"N/A",IF(((I859-H859)*24)&gt;INDEX(Dim_ServiceType!$E$2:$E$16,MATCH(E859,Dim_ServiceType!$A$2:$A$16,0)),"Yes","No"))</f>
        <v>Yes</v>
      </c>
      <c r="P859" s="7" t="str">
        <f t="shared" si="55"/>
        <v>Closed</v>
      </c>
      <c r="Q859" s="6">
        <v>5</v>
      </c>
      <c r="R859" s="7" t="s">
        <v>196</v>
      </c>
    </row>
    <row r="860" spans="1:18" x14ac:dyDescent="0.35">
      <c r="A860" s="6">
        <v>859</v>
      </c>
      <c r="B860" s="7" t="s">
        <v>1056</v>
      </c>
      <c r="C860" s="6">
        <v>14</v>
      </c>
      <c r="D860" s="6">
        <v>7</v>
      </c>
      <c r="E860" s="6">
        <v>8</v>
      </c>
      <c r="F860" s="6">
        <v>12</v>
      </c>
      <c r="G860" s="9">
        <v>45755.904027777797</v>
      </c>
      <c r="H860" s="9">
        <v>45755.945694444497</v>
      </c>
      <c r="I860" s="9">
        <v>45756.199861111098</v>
      </c>
      <c r="J860" s="9">
        <v>45756.220694444499</v>
      </c>
      <c r="K860" s="7" t="s">
        <v>198</v>
      </c>
      <c r="L860" s="10">
        <f t="shared" si="52"/>
        <v>1.0000000008149073</v>
      </c>
      <c r="M860" s="10">
        <f t="shared" si="53"/>
        <v>6.0999999984051101</v>
      </c>
      <c r="N860" s="10">
        <f t="shared" si="54"/>
        <v>7.6000000008498318</v>
      </c>
      <c r="O860" s="7" t="str">
        <f>IF(ISBLANK(I860),"N/A",IF(((I860-H860)*24)&gt;INDEX(Dim_ServiceType!$E$2:$E$16,MATCH(E860,Dim_ServiceType!$A$2:$A$16,0)),"Yes","No"))</f>
        <v>Yes</v>
      </c>
      <c r="P860" s="7" t="str">
        <f t="shared" si="55"/>
        <v>Closed</v>
      </c>
      <c r="Q860" s="6">
        <v>5</v>
      </c>
      <c r="R860" s="7" t="s">
        <v>196</v>
      </c>
    </row>
    <row r="861" spans="1:18" x14ac:dyDescent="0.35">
      <c r="A861" s="6">
        <v>860</v>
      </c>
      <c r="B861" s="7" t="s">
        <v>1057</v>
      </c>
      <c r="C861" s="6">
        <v>13</v>
      </c>
      <c r="D861" s="6">
        <v>1</v>
      </c>
      <c r="E861" s="6">
        <v>5</v>
      </c>
      <c r="F861" s="6">
        <v>11</v>
      </c>
      <c r="G861" s="9">
        <v>45718.230601851901</v>
      </c>
      <c r="H861" s="9">
        <v>45718.355601851901</v>
      </c>
      <c r="I861" s="9">
        <v>45718.680601851898</v>
      </c>
      <c r="J861" s="9">
        <v>45718.763935185198</v>
      </c>
      <c r="K861" s="7" t="s">
        <v>198</v>
      </c>
      <c r="L861" s="10">
        <f t="shared" si="52"/>
        <v>3</v>
      </c>
      <c r="M861" s="10">
        <f t="shared" si="53"/>
        <v>7.7999999999301508</v>
      </c>
      <c r="N861" s="10">
        <f t="shared" si="54"/>
        <v>12.799999999115244</v>
      </c>
      <c r="O861" s="7" t="str">
        <f>IF(ISBLANK(I861),"N/A",IF(((I861-H861)*24)&gt;INDEX(Dim_ServiceType!$E$2:$E$16,MATCH(E861,Dim_ServiceType!$A$2:$A$16,0)),"Yes","No"))</f>
        <v>No</v>
      </c>
      <c r="P861" s="7" t="str">
        <f t="shared" si="55"/>
        <v>Closed</v>
      </c>
      <c r="Q861" s="6">
        <v>5</v>
      </c>
      <c r="R861" s="7" t="s">
        <v>196</v>
      </c>
    </row>
    <row r="862" spans="1:18" x14ac:dyDescent="0.35">
      <c r="A862" s="6">
        <v>861</v>
      </c>
      <c r="B862" s="7" t="s">
        <v>1058</v>
      </c>
      <c r="C862" s="6">
        <v>12</v>
      </c>
      <c r="D862" s="6">
        <v>5</v>
      </c>
      <c r="E862" s="6">
        <v>8</v>
      </c>
      <c r="F862" s="6">
        <v>4</v>
      </c>
      <c r="G862" s="9">
        <v>45800.059953703698</v>
      </c>
      <c r="H862" s="9">
        <v>45800.393287036997</v>
      </c>
      <c r="I862" s="9">
        <v>45800.518287036997</v>
      </c>
      <c r="J862" s="9">
        <v>45800.559953703698</v>
      </c>
      <c r="K862" s="7" t="s">
        <v>195</v>
      </c>
      <c r="L862" s="10">
        <f t="shared" si="52"/>
        <v>7.9999999991850927</v>
      </c>
      <c r="M862" s="10">
        <f t="shared" si="53"/>
        <v>3</v>
      </c>
      <c r="N862" s="10">
        <f t="shared" si="54"/>
        <v>12</v>
      </c>
      <c r="O862" s="7" t="str">
        <f>IF(ISBLANK(I862),"N/A",IF(((I862-H862)*24)&gt;INDEX(Dim_ServiceType!$E$2:$E$16,MATCH(E862,Dim_ServiceType!$A$2:$A$16,0)),"Yes","No"))</f>
        <v>No</v>
      </c>
      <c r="P862" s="7" t="str">
        <f t="shared" si="55"/>
        <v>Closed</v>
      </c>
      <c r="Q862" s="6">
        <v>3</v>
      </c>
      <c r="R862" s="7" t="s">
        <v>196</v>
      </c>
    </row>
    <row r="863" spans="1:18" x14ac:dyDescent="0.35">
      <c r="A863" s="6">
        <v>862</v>
      </c>
      <c r="B863" s="7" t="s">
        <v>1059</v>
      </c>
      <c r="C863" s="6">
        <v>4</v>
      </c>
      <c r="D863" s="6">
        <v>7</v>
      </c>
      <c r="E863" s="6">
        <v>9</v>
      </c>
      <c r="F863" s="6">
        <v>11</v>
      </c>
      <c r="G863" s="9">
        <v>45884.460092592599</v>
      </c>
      <c r="H863" s="9">
        <v>45884.585092592599</v>
      </c>
      <c r="I863" s="9">
        <v>45897.322592592602</v>
      </c>
      <c r="J863" s="9">
        <v>45897.489259259302</v>
      </c>
      <c r="K863" s="7" t="s">
        <v>198</v>
      </c>
      <c r="L863" s="10">
        <f t="shared" si="52"/>
        <v>3</v>
      </c>
      <c r="M863" s="10">
        <f t="shared" si="53"/>
        <v>305.70000000006985</v>
      </c>
      <c r="N863" s="10">
        <f t="shared" si="54"/>
        <v>312.70000000088476</v>
      </c>
      <c r="O863" s="7" t="str">
        <f>IF(ISBLANK(I863),"N/A",IF(((I863-H863)*24)&gt;INDEX(Dim_ServiceType!$E$2:$E$16,MATCH(E863,Dim_ServiceType!$A$2:$A$16,0)),"Yes","No"))</f>
        <v>Yes</v>
      </c>
      <c r="P863" s="7" t="str">
        <f t="shared" si="55"/>
        <v>Closed</v>
      </c>
      <c r="Q863" s="6">
        <v>5</v>
      </c>
      <c r="R863" s="7" t="s">
        <v>196</v>
      </c>
    </row>
    <row r="864" spans="1:18" x14ac:dyDescent="0.35">
      <c r="A864" s="6">
        <v>863</v>
      </c>
      <c r="B864" s="7" t="s">
        <v>1060</v>
      </c>
      <c r="C864" s="6">
        <v>11</v>
      </c>
      <c r="D864" s="6">
        <v>7</v>
      </c>
      <c r="E864" s="6">
        <v>5</v>
      </c>
      <c r="F864" s="6">
        <v>6</v>
      </c>
      <c r="G864" s="9">
        <v>45746.377106481501</v>
      </c>
      <c r="H864" s="9">
        <v>45746.418773148202</v>
      </c>
      <c r="I864" s="9">
        <v>45746.810439814799</v>
      </c>
      <c r="J864" s="9">
        <v>45746.8937731482</v>
      </c>
      <c r="K864" s="7" t="s">
        <v>200</v>
      </c>
      <c r="L864" s="10">
        <f t="shared" si="52"/>
        <v>1.0000000008149073</v>
      </c>
      <c r="M864" s="10">
        <f t="shared" si="53"/>
        <v>9.3999999983352609</v>
      </c>
      <c r="N864" s="10">
        <f t="shared" si="54"/>
        <v>12.400000000779983</v>
      </c>
      <c r="O864" s="7" t="str">
        <f>IF(ISBLANK(I864),"N/A",IF(((I864-H864)*24)&gt;INDEX(Dim_ServiceType!$E$2:$E$16,MATCH(E864,Dim_ServiceType!$A$2:$A$16,0)),"Yes","No"))</f>
        <v>No</v>
      </c>
      <c r="P864" s="7" t="str">
        <f t="shared" si="55"/>
        <v>Closed</v>
      </c>
      <c r="Q864" s="6">
        <v>4</v>
      </c>
      <c r="R864" s="7" t="s">
        <v>196</v>
      </c>
    </row>
    <row r="865" spans="1:18" x14ac:dyDescent="0.35">
      <c r="A865" s="6">
        <v>864</v>
      </c>
      <c r="B865" s="7" t="s">
        <v>1061</v>
      </c>
      <c r="C865" s="6">
        <v>13</v>
      </c>
      <c r="D865" s="6">
        <v>5</v>
      </c>
      <c r="E865" s="6">
        <v>12</v>
      </c>
      <c r="F865" s="6">
        <v>10</v>
      </c>
      <c r="G865" s="9">
        <v>45734.965497685203</v>
      </c>
      <c r="H865" s="9">
        <v>45735.007164351897</v>
      </c>
      <c r="I865" s="9">
        <v>45736.0613310185</v>
      </c>
      <c r="J865" s="9">
        <v>45736.082164351901</v>
      </c>
      <c r="K865" s="7" t="s">
        <v>198</v>
      </c>
      <c r="L865" s="10">
        <f t="shared" si="52"/>
        <v>1.0000000006402843</v>
      </c>
      <c r="M865" s="10">
        <f t="shared" si="53"/>
        <v>25.299999998474959</v>
      </c>
      <c r="N865" s="10">
        <f t="shared" si="54"/>
        <v>26.800000000745058</v>
      </c>
      <c r="O865" s="7" t="str">
        <f>IF(ISBLANK(I865),"N/A",IF(((I865-H865)*24)&gt;INDEX(Dim_ServiceType!$E$2:$E$16,MATCH(E865,Dim_ServiceType!$A$2:$A$16,0)),"Yes","No"))</f>
        <v>Yes</v>
      </c>
      <c r="P865" s="7" t="str">
        <f t="shared" si="55"/>
        <v>Closed</v>
      </c>
      <c r="Q865" s="6">
        <v>4</v>
      </c>
      <c r="R865" s="7" t="s">
        <v>196</v>
      </c>
    </row>
    <row r="866" spans="1:18" x14ac:dyDescent="0.35">
      <c r="A866" s="6">
        <v>865</v>
      </c>
      <c r="B866" s="7" t="s">
        <v>1062</v>
      </c>
      <c r="C866" s="6">
        <v>3</v>
      </c>
      <c r="D866" s="6">
        <v>7</v>
      </c>
      <c r="E866" s="6">
        <v>4</v>
      </c>
      <c r="F866" s="6">
        <v>3</v>
      </c>
      <c r="G866" s="9">
        <v>45885.8024421296</v>
      </c>
      <c r="H866" s="9">
        <v>45886.3024421296</v>
      </c>
      <c r="I866" s="9">
        <v>45886.948275463001</v>
      </c>
      <c r="J866" s="9">
        <v>45886.9691087963</v>
      </c>
      <c r="K866" s="7" t="s">
        <v>198</v>
      </c>
      <c r="L866" s="10">
        <f t="shared" si="52"/>
        <v>12</v>
      </c>
      <c r="M866" s="10">
        <f t="shared" si="53"/>
        <v>15.500000001629815</v>
      </c>
      <c r="N866" s="10">
        <f t="shared" si="54"/>
        <v>28.000000000814907</v>
      </c>
      <c r="O866" s="7" t="str">
        <f>IF(ISBLANK(I866),"N/A",IF(((I866-H866)*24)&gt;INDEX(Dim_ServiceType!$E$2:$E$16,MATCH(E866,Dim_ServiceType!$A$2:$A$16,0)),"Yes","No"))</f>
        <v>No</v>
      </c>
      <c r="P866" s="7" t="str">
        <f t="shared" si="55"/>
        <v>Closed</v>
      </c>
      <c r="Q866" s="6">
        <v>5</v>
      </c>
      <c r="R866" s="7" t="s">
        <v>196</v>
      </c>
    </row>
    <row r="867" spans="1:18" x14ac:dyDescent="0.35">
      <c r="A867" s="6">
        <v>866</v>
      </c>
      <c r="B867" s="7" t="s">
        <v>1063</v>
      </c>
      <c r="C867" s="6">
        <v>8</v>
      </c>
      <c r="D867" s="6">
        <v>14</v>
      </c>
      <c r="E867" s="6">
        <v>4</v>
      </c>
      <c r="F867" s="6">
        <v>7</v>
      </c>
      <c r="G867" s="9">
        <v>45677.304224537002</v>
      </c>
      <c r="H867" s="9">
        <v>45677.429224537002</v>
      </c>
      <c r="I867" s="9">
        <v>45678.675057870401</v>
      </c>
      <c r="J867" s="9">
        <v>45678.841724537</v>
      </c>
      <c r="K867" s="7" t="s">
        <v>195</v>
      </c>
      <c r="L867" s="10">
        <f t="shared" si="52"/>
        <v>3</v>
      </c>
      <c r="M867" s="10">
        <f t="shared" si="53"/>
        <v>29.90000000159489</v>
      </c>
      <c r="N867" s="10">
        <f t="shared" si="54"/>
        <v>36.899999999965075</v>
      </c>
      <c r="O867" s="7" t="str">
        <f>IF(ISBLANK(I867),"N/A",IF(((I867-H867)*24)&gt;INDEX(Dim_ServiceType!$E$2:$E$16,MATCH(E867,Dim_ServiceType!$A$2:$A$16,0)),"Yes","No"))</f>
        <v>Yes</v>
      </c>
      <c r="P867" s="7" t="str">
        <f t="shared" si="55"/>
        <v>Closed</v>
      </c>
      <c r="Q867" s="6">
        <v>1</v>
      </c>
      <c r="R867" s="7" t="s">
        <v>196</v>
      </c>
    </row>
    <row r="868" spans="1:18" x14ac:dyDescent="0.35">
      <c r="A868" s="6">
        <v>867</v>
      </c>
      <c r="B868" s="7" t="s">
        <v>1064</v>
      </c>
      <c r="C868" s="6">
        <v>9</v>
      </c>
      <c r="D868" s="6">
        <v>1</v>
      </c>
      <c r="E868" s="6">
        <v>14</v>
      </c>
      <c r="F868" s="6">
        <v>10</v>
      </c>
      <c r="G868" s="9">
        <v>45933.794745370396</v>
      </c>
      <c r="H868" s="9">
        <v>45934.128078703703</v>
      </c>
      <c r="I868" s="9">
        <v>45934.444745370398</v>
      </c>
      <c r="J868" s="9">
        <v>45934.465578703697</v>
      </c>
      <c r="K868" s="7" t="s">
        <v>207</v>
      </c>
      <c r="L868" s="10">
        <f t="shared" si="52"/>
        <v>7.9999999993597157</v>
      </c>
      <c r="M868" s="10">
        <f t="shared" si="53"/>
        <v>7.6000000006752089</v>
      </c>
      <c r="N868" s="10">
        <f t="shared" si="54"/>
        <v>16.099999999220017</v>
      </c>
      <c r="O868" s="7" t="str">
        <f>IF(ISBLANK(I868),"N/A",IF(((I868-H868)*24)&gt;INDEX(Dim_ServiceType!$E$2:$E$16,MATCH(E868,Dim_ServiceType!$A$2:$A$16,0)),"Yes","No"))</f>
        <v>No</v>
      </c>
      <c r="P868" s="7" t="str">
        <f t="shared" si="55"/>
        <v>Closed</v>
      </c>
      <c r="Q868" s="6">
        <v>5</v>
      </c>
      <c r="R868" s="7" t="s">
        <v>196</v>
      </c>
    </row>
    <row r="869" spans="1:18" x14ac:dyDescent="0.35">
      <c r="A869" s="6">
        <v>868</v>
      </c>
      <c r="B869" s="7" t="s">
        <v>1065</v>
      </c>
      <c r="C869" s="6">
        <v>14</v>
      </c>
      <c r="D869" s="6">
        <v>3</v>
      </c>
      <c r="E869" s="6">
        <v>9</v>
      </c>
      <c r="F869" s="6">
        <v>5</v>
      </c>
      <c r="G869" s="9">
        <v>45707.223194444399</v>
      </c>
      <c r="H869" s="9">
        <v>45707.723194444399</v>
      </c>
      <c r="I869" s="9">
        <v>45709.739861111098</v>
      </c>
      <c r="J869" s="9">
        <v>45709.906527777799</v>
      </c>
      <c r="K869" s="7" t="s">
        <v>207</v>
      </c>
      <c r="L869" s="10">
        <f t="shared" si="52"/>
        <v>12</v>
      </c>
      <c r="M869" s="10">
        <f t="shared" si="53"/>
        <v>48.400000000779983</v>
      </c>
      <c r="N869" s="10">
        <f t="shared" si="54"/>
        <v>64.40000000159489</v>
      </c>
      <c r="O869" s="7" t="str">
        <f>IF(ISBLANK(I869),"N/A",IF(((I869-H869)*24)&gt;INDEX(Dim_ServiceType!$E$2:$E$16,MATCH(E869,Dim_ServiceType!$A$2:$A$16,0)),"Yes","No"))</f>
        <v>No</v>
      </c>
      <c r="P869" s="7" t="str">
        <f t="shared" si="55"/>
        <v>Closed</v>
      </c>
      <c r="Q869" s="6">
        <v>5</v>
      </c>
      <c r="R869" s="7" t="s">
        <v>196</v>
      </c>
    </row>
    <row r="870" spans="1:18" x14ac:dyDescent="0.35">
      <c r="A870" s="6">
        <v>869</v>
      </c>
      <c r="B870" s="7" t="s">
        <v>1066</v>
      </c>
      <c r="C870" s="6">
        <v>14</v>
      </c>
      <c r="D870" s="6">
        <v>15</v>
      </c>
      <c r="E870" s="6">
        <v>6</v>
      </c>
      <c r="F870" s="6">
        <v>13</v>
      </c>
      <c r="G870" s="9">
        <v>45855.575300925899</v>
      </c>
      <c r="H870" s="9">
        <v>45856.325300925899</v>
      </c>
      <c r="I870" s="9">
        <v>45857.529467592598</v>
      </c>
      <c r="J870" s="9">
        <v>45858.029467592598</v>
      </c>
      <c r="K870" s="7" t="s">
        <v>192</v>
      </c>
      <c r="L870" s="10">
        <f t="shared" si="52"/>
        <v>18</v>
      </c>
      <c r="M870" s="10">
        <f t="shared" si="53"/>
        <v>28.900000000779983</v>
      </c>
      <c r="N870" s="10">
        <f t="shared" si="54"/>
        <v>58.900000000779983</v>
      </c>
      <c r="O870" s="7" t="str">
        <f>IF(ISBLANK(I870),"N/A",IF(((I870-H870)*24)&gt;INDEX(Dim_ServiceType!$E$2:$E$16,MATCH(E870,Dim_ServiceType!$A$2:$A$16,0)),"Yes","No"))</f>
        <v>No</v>
      </c>
      <c r="P870" s="7" t="str">
        <f t="shared" si="55"/>
        <v>Closed</v>
      </c>
      <c r="Q870" s="6">
        <v>3</v>
      </c>
      <c r="R870" s="7" t="s">
        <v>193</v>
      </c>
    </row>
    <row r="871" spans="1:18" x14ac:dyDescent="0.35">
      <c r="A871" s="6">
        <v>870</v>
      </c>
      <c r="B871" s="7" t="s">
        <v>1067</v>
      </c>
      <c r="C871" s="6">
        <v>1</v>
      </c>
      <c r="D871" s="6">
        <v>5</v>
      </c>
      <c r="E871" s="6">
        <v>10</v>
      </c>
      <c r="F871" s="6">
        <v>2</v>
      </c>
      <c r="G871" s="9">
        <v>45844.785092592603</v>
      </c>
      <c r="H871" s="9">
        <v>45844.805925925903</v>
      </c>
      <c r="I871" s="9"/>
      <c r="J871" s="9"/>
      <c r="K871" s="7" t="s">
        <v>198</v>
      </c>
      <c r="L871" s="10">
        <f t="shared" si="52"/>
        <v>0.49999999918509275</v>
      </c>
      <c r="M871" s="10" t="str">
        <f t="shared" si="53"/>
        <v/>
      </c>
      <c r="N871" s="10" t="str">
        <f t="shared" si="54"/>
        <v/>
      </c>
      <c r="O871" s="7" t="str">
        <f>IF(ISBLANK(I871),"N/A",IF(((I871-H871)*24)&gt;INDEX(Dim_ServiceType!$E$2:$E$16,MATCH(E871,Dim_ServiceType!$A$2:$A$16,0)),"Yes","No"))</f>
        <v>N/A</v>
      </c>
      <c r="P871" s="7" t="str">
        <f t="shared" si="55"/>
        <v>In Progress</v>
      </c>
      <c r="Q871" s="6"/>
      <c r="R871" s="7"/>
    </row>
    <row r="872" spans="1:18" x14ac:dyDescent="0.35">
      <c r="A872" s="6">
        <v>871</v>
      </c>
      <c r="B872" s="7" t="s">
        <v>1068</v>
      </c>
      <c r="C872" s="6">
        <v>13</v>
      </c>
      <c r="D872" s="6">
        <v>1</v>
      </c>
      <c r="E872" s="6">
        <v>5</v>
      </c>
      <c r="F872" s="6">
        <v>10</v>
      </c>
      <c r="G872" s="9">
        <v>45837.675081018497</v>
      </c>
      <c r="H872" s="9">
        <v>45838.675081018497</v>
      </c>
      <c r="I872" s="9">
        <v>45839.2875810185</v>
      </c>
      <c r="J872" s="9">
        <v>45839.7875810185</v>
      </c>
      <c r="K872" s="7" t="s">
        <v>207</v>
      </c>
      <c r="L872" s="10">
        <f t="shared" si="52"/>
        <v>24</v>
      </c>
      <c r="M872" s="10">
        <f t="shared" si="53"/>
        <v>14.700000000069849</v>
      </c>
      <c r="N872" s="10">
        <f t="shared" si="54"/>
        <v>50.700000000069849</v>
      </c>
      <c r="O872" s="7" t="str">
        <f>IF(ISBLANK(I872),"N/A",IF(((I872-H872)*24)&gt;INDEX(Dim_ServiceType!$E$2:$E$16,MATCH(E872,Dim_ServiceType!$A$2:$A$16,0)),"Yes","No"))</f>
        <v>Yes</v>
      </c>
      <c r="P872" s="7" t="str">
        <f t="shared" si="55"/>
        <v>Closed</v>
      </c>
      <c r="Q872" s="6">
        <v>4</v>
      </c>
      <c r="R872" s="7" t="s">
        <v>196</v>
      </c>
    </row>
    <row r="873" spans="1:18" x14ac:dyDescent="0.35">
      <c r="A873" s="6">
        <v>872</v>
      </c>
      <c r="B873" s="7" t="s">
        <v>1069</v>
      </c>
      <c r="C873" s="6">
        <v>15</v>
      </c>
      <c r="D873" s="6">
        <v>4</v>
      </c>
      <c r="E873" s="6">
        <v>13</v>
      </c>
      <c r="F873" s="6">
        <v>4</v>
      </c>
      <c r="G873" s="9">
        <v>45791.262048611097</v>
      </c>
      <c r="H873" s="9">
        <v>45791.762048611097</v>
      </c>
      <c r="I873" s="9">
        <v>45792.191215277802</v>
      </c>
      <c r="J873" s="9">
        <v>45792.274548611102</v>
      </c>
      <c r="K873" s="7" t="s">
        <v>207</v>
      </c>
      <c r="L873" s="10">
        <f t="shared" si="52"/>
        <v>12</v>
      </c>
      <c r="M873" s="10">
        <f t="shared" si="53"/>
        <v>10.300000000919681</v>
      </c>
      <c r="N873" s="10">
        <f t="shared" si="54"/>
        <v>24.300000000104774</v>
      </c>
      <c r="O873" s="7" t="str">
        <f>IF(ISBLANK(I873),"N/A",IF(((I873-H873)*24)&gt;INDEX(Dim_ServiceType!$E$2:$E$16,MATCH(E873,Dim_ServiceType!$A$2:$A$16,0)),"Yes","No"))</f>
        <v>No</v>
      </c>
      <c r="P873" s="7" t="str">
        <f t="shared" si="55"/>
        <v>Closed</v>
      </c>
      <c r="Q873" s="6">
        <v>3</v>
      </c>
      <c r="R873" s="7" t="s">
        <v>196</v>
      </c>
    </row>
    <row r="874" spans="1:18" x14ac:dyDescent="0.35">
      <c r="A874" s="6">
        <v>873</v>
      </c>
      <c r="B874" s="7" t="s">
        <v>1070</v>
      </c>
      <c r="C874" s="6">
        <v>4</v>
      </c>
      <c r="D874" s="6">
        <v>14</v>
      </c>
      <c r="E874" s="6">
        <v>13</v>
      </c>
      <c r="F874" s="6">
        <v>12</v>
      </c>
      <c r="G874" s="9">
        <v>45744.909201388902</v>
      </c>
      <c r="H874" s="9">
        <v>45744.992534722202</v>
      </c>
      <c r="I874" s="9">
        <v>45746.596701388902</v>
      </c>
      <c r="J874" s="9">
        <v>45746.638368055603</v>
      </c>
      <c r="K874" s="7" t="s">
        <v>198</v>
      </c>
      <c r="L874" s="10">
        <f t="shared" si="52"/>
        <v>1.9999999991850927</v>
      </c>
      <c r="M874" s="10">
        <f t="shared" si="53"/>
        <v>38.500000000814907</v>
      </c>
      <c r="N874" s="10">
        <f t="shared" si="54"/>
        <v>41.500000000814907</v>
      </c>
      <c r="O874" s="7" t="str">
        <f>IF(ISBLANK(I874),"N/A",IF(((I874-H874)*24)&gt;INDEX(Dim_ServiceType!$E$2:$E$16,MATCH(E874,Dim_ServiceType!$A$2:$A$16,0)),"Yes","No"))</f>
        <v>Yes</v>
      </c>
      <c r="P874" s="7" t="str">
        <f t="shared" si="55"/>
        <v>Closed</v>
      </c>
      <c r="Q874" s="6">
        <v>3</v>
      </c>
      <c r="R874" s="7" t="s">
        <v>196</v>
      </c>
    </row>
    <row r="875" spans="1:18" x14ac:dyDescent="0.35">
      <c r="A875" s="6">
        <v>874</v>
      </c>
      <c r="B875" s="7" t="s">
        <v>1071</v>
      </c>
      <c r="C875" s="6">
        <v>9</v>
      </c>
      <c r="D875" s="6">
        <v>5</v>
      </c>
      <c r="E875" s="6">
        <v>9</v>
      </c>
      <c r="F875" s="6">
        <v>14</v>
      </c>
      <c r="G875" s="9">
        <v>45986.319733796299</v>
      </c>
      <c r="H875" s="9">
        <v>45987.069733796299</v>
      </c>
      <c r="I875" s="9">
        <v>45990.203067129602</v>
      </c>
      <c r="J875" s="9">
        <v>45990.453067129602</v>
      </c>
      <c r="K875" s="7" t="s">
        <v>192</v>
      </c>
      <c r="L875" s="10">
        <f t="shared" si="52"/>
        <v>18</v>
      </c>
      <c r="M875" s="10">
        <f t="shared" si="53"/>
        <v>75.199999999254942</v>
      </c>
      <c r="N875" s="10">
        <f t="shared" si="54"/>
        <v>99.199999999254942</v>
      </c>
      <c r="O875" s="7" t="str">
        <f>IF(ISBLANK(I875),"N/A",IF(((I875-H875)*24)&gt;INDEX(Dim_ServiceType!$E$2:$E$16,MATCH(E875,Dim_ServiceType!$A$2:$A$16,0)),"Yes","No"))</f>
        <v>Yes</v>
      </c>
      <c r="P875" s="7" t="str">
        <f t="shared" si="55"/>
        <v>Closed</v>
      </c>
      <c r="Q875" s="6">
        <v>3</v>
      </c>
      <c r="R875" s="7" t="s">
        <v>196</v>
      </c>
    </row>
    <row r="876" spans="1:18" x14ac:dyDescent="0.35">
      <c r="A876" s="6">
        <v>875</v>
      </c>
      <c r="B876" s="7" t="s">
        <v>1072</v>
      </c>
      <c r="C876" s="6">
        <v>1</v>
      </c>
      <c r="D876" s="6">
        <v>7</v>
      </c>
      <c r="E876" s="6">
        <v>6</v>
      </c>
      <c r="F876" s="6">
        <v>3</v>
      </c>
      <c r="G876" s="9">
        <v>45888.414953703701</v>
      </c>
      <c r="H876" s="9">
        <v>45888.581620370402</v>
      </c>
      <c r="I876" s="9">
        <v>45889.956620370402</v>
      </c>
      <c r="J876" s="9">
        <v>45889.977453703701</v>
      </c>
      <c r="K876" s="7" t="s">
        <v>192</v>
      </c>
      <c r="L876" s="10">
        <f t="shared" si="52"/>
        <v>4.0000000008149073</v>
      </c>
      <c r="M876" s="10">
        <f t="shared" si="53"/>
        <v>33</v>
      </c>
      <c r="N876" s="10">
        <f t="shared" si="54"/>
        <v>37.5</v>
      </c>
      <c r="O876" s="7" t="str">
        <f>IF(ISBLANK(I876),"N/A",IF(((I876-H876)*24)&gt;INDEX(Dim_ServiceType!$E$2:$E$16,MATCH(E876,Dim_ServiceType!$A$2:$A$16,0)),"Yes","No"))</f>
        <v>No</v>
      </c>
      <c r="P876" s="7" t="str">
        <f t="shared" si="55"/>
        <v>Closed</v>
      </c>
      <c r="Q876" s="6">
        <v>2</v>
      </c>
      <c r="R876" s="7" t="s">
        <v>196</v>
      </c>
    </row>
    <row r="877" spans="1:18" x14ac:dyDescent="0.35">
      <c r="A877" s="6">
        <v>876</v>
      </c>
      <c r="B877" s="7" t="s">
        <v>1073</v>
      </c>
      <c r="C877" s="6">
        <v>5</v>
      </c>
      <c r="D877" s="6">
        <v>2</v>
      </c>
      <c r="E877" s="6">
        <v>14</v>
      </c>
      <c r="F877" s="6">
        <v>15</v>
      </c>
      <c r="G877" s="9">
        <v>45752.425462963001</v>
      </c>
      <c r="H877" s="9">
        <v>45752.5921296296</v>
      </c>
      <c r="I877" s="9">
        <v>45752.754629629599</v>
      </c>
      <c r="J877" s="9">
        <v>45752.921296296299</v>
      </c>
      <c r="K877" s="7" t="s">
        <v>200</v>
      </c>
      <c r="L877" s="10">
        <f t="shared" si="52"/>
        <v>3.9999999983701855</v>
      </c>
      <c r="M877" s="10">
        <f t="shared" si="53"/>
        <v>3.8999999999650754</v>
      </c>
      <c r="N877" s="10">
        <f t="shared" si="54"/>
        <v>11.899999999150168</v>
      </c>
      <c r="O877" s="7" t="str">
        <f>IF(ISBLANK(I877),"N/A",IF(((I877-H877)*24)&gt;INDEX(Dim_ServiceType!$E$2:$E$16,MATCH(E877,Dim_ServiceType!$A$2:$A$16,0)),"Yes","No"))</f>
        <v>No</v>
      </c>
      <c r="P877" s="7" t="str">
        <f t="shared" si="55"/>
        <v>Closed</v>
      </c>
      <c r="Q877" s="6">
        <v>2</v>
      </c>
      <c r="R877" s="7" t="s">
        <v>196</v>
      </c>
    </row>
    <row r="878" spans="1:18" x14ac:dyDescent="0.35">
      <c r="A878" s="6">
        <v>877</v>
      </c>
      <c r="B878" s="7" t="s">
        <v>1074</v>
      </c>
      <c r="C878" s="6">
        <v>15</v>
      </c>
      <c r="D878" s="6">
        <v>8</v>
      </c>
      <c r="E878" s="6">
        <v>8</v>
      </c>
      <c r="F878" s="6">
        <v>6</v>
      </c>
      <c r="G878" s="9">
        <v>45794.375833333303</v>
      </c>
      <c r="H878" s="9">
        <v>45794.417500000003</v>
      </c>
      <c r="I878" s="9">
        <v>45794.596666666701</v>
      </c>
      <c r="J878" s="9">
        <v>45794.6175</v>
      </c>
      <c r="K878" s="7" t="s">
        <v>192</v>
      </c>
      <c r="L878" s="10">
        <f t="shared" si="52"/>
        <v>1.0000000008149073</v>
      </c>
      <c r="M878" s="10">
        <f t="shared" si="53"/>
        <v>4.3000000007450581</v>
      </c>
      <c r="N878" s="10">
        <f t="shared" si="54"/>
        <v>5.8000000007450581</v>
      </c>
      <c r="O878" s="7" t="str">
        <f>IF(ISBLANK(I878),"N/A",IF(((I878-H878)*24)&gt;INDEX(Dim_ServiceType!$E$2:$E$16,MATCH(E878,Dim_ServiceType!$A$2:$A$16,0)),"Yes","No"))</f>
        <v>No</v>
      </c>
      <c r="P878" s="7" t="str">
        <f t="shared" si="55"/>
        <v>Closed</v>
      </c>
      <c r="Q878" s="6">
        <v>4</v>
      </c>
      <c r="R878" s="7" t="s">
        <v>196</v>
      </c>
    </row>
    <row r="879" spans="1:18" x14ac:dyDescent="0.35">
      <c r="A879" s="6">
        <v>878</v>
      </c>
      <c r="B879" s="7" t="s">
        <v>1075</v>
      </c>
      <c r="C879" s="6">
        <v>15</v>
      </c>
      <c r="D879" s="6">
        <v>15</v>
      </c>
      <c r="E879" s="6">
        <v>4</v>
      </c>
      <c r="F879" s="6">
        <v>9</v>
      </c>
      <c r="G879" s="9">
        <v>45768.640243055597</v>
      </c>
      <c r="H879" s="9">
        <v>45769.390243055597</v>
      </c>
      <c r="I879" s="9">
        <v>45770.415243055599</v>
      </c>
      <c r="J879" s="9">
        <v>45771.415243055599</v>
      </c>
      <c r="K879" s="7" t="s">
        <v>207</v>
      </c>
      <c r="L879" s="10">
        <f t="shared" si="52"/>
        <v>18</v>
      </c>
      <c r="M879" s="10">
        <f t="shared" si="53"/>
        <v>24.600000000034925</v>
      </c>
      <c r="N879" s="10">
        <f t="shared" si="54"/>
        <v>66.600000000034925</v>
      </c>
      <c r="O879" s="7" t="str">
        <f>IF(ISBLANK(I879),"N/A",IF(((I879-H879)*24)&gt;INDEX(Dim_ServiceType!$E$2:$E$16,MATCH(E879,Dim_ServiceType!$A$2:$A$16,0)),"Yes","No"))</f>
        <v>Yes</v>
      </c>
      <c r="P879" s="7" t="str">
        <f t="shared" si="55"/>
        <v>Closed</v>
      </c>
      <c r="Q879" s="6">
        <v>2</v>
      </c>
      <c r="R879" s="7" t="s">
        <v>196</v>
      </c>
    </row>
    <row r="880" spans="1:18" x14ac:dyDescent="0.35">
      <c r="A880" s="6">
        <v>879</v>
      </c>
      <c r="B880" s="7" t="s">
        <v>1076</v>
      </c>
      <c r="C880" s="6">
        <v>5</v>
      </c>
      <c r="D880" s="6">
        <v>5</v>
      </c>
      <c r="E880" s="6">
        <v>4</v>
      </c>
      <c r="F880" s="6">
        <v>1</v>
      </c>
      <c r="G880" s="9">
        <v>45918.7426388889</v>
      </c>
      <c r="H880" s="9">
        <v>45919.075972222199</v>
      </c>
      <c r="I880" s="9">
        <v>45920.263472222199</v>
      </c>
      <c r="J880" s="9">
        <v>45920.763472222199</v>
      </c>
      <c r="K880" s="7" t="s">
        <v>198</v>
      </c>
      <c r="L880" s="10">
        <f t="shared" si="52"/>
        <v>7.9999999991850927</v>
      </c>
      <c r="M880" s="10">
        <f t="shared" si="53"/>
        <v>28.5</v>
      </c>
      <c r="N880" s="10">
        <f t="shared" si="54"/>
        <v>48.499999999185093</v>
      </c>
      <c r="O880" s="7" t="str">
        <f>IF(ISBLANK(I880),"N/A",IF(((I880-H880)*24)&gt;INDEX(Dim_ServiceType!$E$2:$E$16,MATCH(E880,Dim_ServiceType!$A$2:$A$16,0)),"Yes","No"))</f>
        <v>Yes</v>
      </c>
      <c r="P880" s="7" t="str">
        <f t="shared" si="55"/>
        <v>Closed</v>
      </c>
      <c r="Q880" s="6">
        <v>4</v>
      </c>
      <c r="R880" s="7" t="s">
        <v>196</v>
      </c>
    </row>
    <row r="881" spans="1:18" x14ac:dyDescent="0.35">
      <c r="A881" s="6">
        <v>880</v>
      </c>
      <c r="B881" s="7" t="s">
        <v>1077</v>
      </c>
      <c r="C881" s="6">
        <v>6</v>
      </c>
      <c r="D881" s="6">
        <v>1</v>
      </c>
      <c r="E881" s="6">
        <v>8</v>
      </c>
      <c r="F881" s="6">
        <v>13</v>
      </c>
      <c r="G881" s="9">
        <v>45955.4980208333</v>
      </c>
      <c r="H881" s="9">
        <v>45955.6230208333</v>
      </c>
      <c r="I881" s="9">
        <v>45955.7438541667</v>
      </c>
      <c r="J881" s="9">
        <v>45955.764687499999</v>
      </c>
      <c r="K881" s="7" t="s">
        <v>207</v>
      </c>
      <c r="L881" s="10">
        <f t="shared" si="52"/>
        <v>3</v>
      </c>
      <c r="M881" s="10">
        <f t="shared" si="53"/>
        <v>2.9000000015948899</v>
      </c>
      <c r="N881" s="10">
        <f t="shared" si="54"/>
        <v>6.4000000007799827</v>
      </c>
      <c r="O881" s="7" t="str">
        <f>IF(ISBLANK(I881),"N/A",IF(((I881-H881)*24)&gt;INDEX(Dim_ServiceType!$E$2:$E$16,MATCH(E881,Dim_ServiceType!$A$2:$A$16,0)),"Yes","No"))</f>
        <v>No</v>
      </c>
      <c r="P881" s="7" t="str">
        <f t="shared" si="55"/>
        <v>Closed</v>
      </c>
      <c r="Q881" s="6">
        <v>5</v>
      </c>
      <c r="R881" s="7" t="s">
        <v>196</v>
      </c>
    </row>
    <row r="882" spans="1:18" x14ac:dyDescent="0.35">
      <c r="A882" s="6">
        <v>881</v>
      </c>
      <c r="B882" s="7" t="s">
        <v>1078</v>
      </c>
      <c r="C882" s="6">
        <v>12</v>
      </c>
      <c r="D882" s="6">
        <v>15</v>
      </c>
      <c r="E882" s="6">
        <v>2</v>
      </c>
      <c r="F882" s="6">
        <v>8</v>
      </c>
      <c r="G882" s="9">
        <v>45876.759965277801</v>
      </c>
      <c r="H882" s="9">
        <v>45877.0932986111</v>
      </c>
      <c r="I882" s="9">
        <v>45877.2807986111</v>
      </c>
      <c r="J882" s="9">
        <v>45877.3641319444</v>
      </c>
      <c r="K882" s="7" t="s">
        <v>192</v>
      </c>
      <c r="L882" s="10">
        <f t="shared" si="52"/>
        <v>7.9999999991850927</v>
      </c>
      <c r="M882" s="10">
        <f t="shared" si="53"/>
        <v>4.5</v>
      </c>
      <c r="N882" s="10">
        <f t="shared" si="54"/>
        <v>14.499999998370185</v>
      </c>
      <c r="O882" s="7" t="str">
        <f>IF(ISBLANK(I882),"N/A",IF(((I882-H882)*24)&gt;INDEX(Dim_ServiceType!$E$2:$E$16,MATCH(E882,Dim_ServiceType!$A$2:$A$16,0)),"Yes","No"))</f>
        <v>No</v>
      </c>
      <c r="P882" s="7" t="str">
        <f t="shared" si="55"/>
        <v>Closed</v>
      </c>
      <c r="Q882" s="6">
        <v>2</v>
      </c>
      <c r="R882" s="7" t="s">
        <v>196</v>
      </c>
    </row>
    <row r="883" spans="1:18" x14ac:dyDescent="0.35">
      <c r="A883" s="6">
        <v>882</v>
      </c>
      <c r="B883" s="7" t="s">
        <v>1079</v>
      </c>
      <c r="C883" s="6">
        <v>15</v>
      </c>
      <c r="D883" s="6">
        <v>14</v>
      </c>
      <c r="E883" s="6">
        <v>1</v>
      </c>
      <c r="F883" s="6">
        <v>11</v>
      </c>
      <c r="G883" s="9">
        <v>45721.388020833299</v>
      </c>
      <c r="H883" s="9">
        <v>45721.408854166701</v>
      </c>
      <c r="I883" s="9">
        <v>45721.483854166698</v>
      </c>
      <c r="J883" s="9">
        <v>45721.650520833296</v>
      </c>
      <c r="K883" s="7" t="s">
        <v>195</v>
      </c>
      <c r="L883" s="10">
        <f t="shared" si="52"/>
        <v>0.50000000162981451</v>
      </c>
      <c r="M883" s="10">
        <f t="shared" si="53"/>
        <v>1.7999999999301508</v>
      </c>
      <c r="N883" s="10">
        <f t="shared" si="54"/>
        <v>6.2999999999301508</v>
      </c>
      <c r="O883" s="7" t="str">
        <f>IF(ISBLANK(I883),"N/A",IF(((I883-H883)*24)&gt;INDEX(Dim_ServiceType!$E$2:$E$16,MATCH(E883,Dim_ServiceType!$A$2:$A$16,0)),"Yes","No"))</f>
        <v>No</v>
      </c>
      <c r="P883" s="7" t="str">
        <f t="shared" si="55"/>
        <v>Closed</v>
      </c>
      <c r="Q883" s="6">
        <v>4</v>
      </c>
      <c r="R883" s="7" t="s">
        <v>196</v>
      </c>
    </row>
    <row r="884" spans="1:18" x14ac:dyDescent="0.35">
      <c r="A884" s="6">
        <v>883</v>
      </c>
      <c r="B884" s="7" t="s">
        <v>1080</v>
      </c>
      <c r="C884" s="6">
        <v>10</v>
      </c>
      <c r="D884" s="6">
        <v>10</v>
      </c>
      <c r="E884" s="6">
        <v>10</v>
      </c>
      <c r="F884" s="6">
        <v>13</v>
      </c>
      <c r="G884" s="9">
        <v>45731.200798611098</v>
      </c>
      <c r="H884" s="9">
        <v>45731.450798611098</v>
      </c>
      <c r="I884" s="9">
        <v>45731.592465277798</v>
      </c>
      <c r="J884" s="9">
        <v>45731.675798611097</v>
      </c>
      <c r="K884" s="7" t="s">
        <v>195</v>
      </c>
      <c r="L884" s="10">
        <f t="shared" si="52"/>
        <v>6</v>
      </c>
      <c r="M884" s="10">
        <f t="shared" si="53"/>
        <v>3.4000000007799827</v>
      </c>
      <c r="N884" s="10">
        <f t="shared" si="54"/>
        <v>11.399999999965075</v>
      </c>
      <c r="O884" s="7" t="str">
        <f>IF(ISBLANK(I884),"N/A",IF(((I884-H884)*24)&gt;INDEX(Dim_ServiceType!$E$2:$E$16,MATCH(E884,Dim_ServiceType!$A$2:$A$16,0)),"Yes","No"))</f>
        <v>No</v>
      </c>
      <c r="P884" s="7" t="str">
        <f t="shared" si="55"/>
        <v>Closed</v>
      </c>
      <c r="Q884" s="6">
        <v>3</v>
      </c>
      <c r="R884" s="7" t="s">
        <v>196</v>
      </c>
    </row>
    <row r="885" spans="1:18" x14ac:dyDescent="0.35">
      <c r="A885" s="6">
        <v>884</v>
      </c>
      <c r="B885" s="7" t="s">
        <v>1081</v>
      </c>
      <c r="C885" s="6">
        <v>9</v>
      </c>
      <c r="D885" s="6">
        <v>6</v>
      </c>
      <c r="E885" s="6">
        <v>14</v>
      </c>
      <c r="F885" s="6">
        <v>14</v>
      </c>
      <c r="G885" s="9">
        <v>45987.210474537002</v>
      </c>
      <c r="H885" s="9">
        <v>45987.293807870403</v>
      </c>
      <c r="I885" s="9">
        <v>45987.643807870401</v>
      </c>
      <c r="J885" s="9">
        <v>45987.893807870401</v>
      </c>
      <c r="K885" s="7" t="s">
        <v>192</v>
      </c>
      <c r="L885" s="10">
        <f t="shared" si="52"/>
        <v>2.0000000016298145</v>
      </c>
      <c r="M885" s="10">
        <f t="shared" si="53"/>
        <v>8.3999999999650754</v>
      </c>
      <c r="N885" s="10">
        <f t="shared" si="54"/>
        <v>16.40000000159489</v>
      </c>
      <c r="O885" s="7" t="str">
        <f>IF(ISBLANK(I885),"N/A",IF(((I885-H885)*24)&gt;INDEX(Dim_ServiceType!$E$2:$E$16,MATCH(E885,Dim_ServiceType!$A$2:$A$16,0)),"Yes","No"))</f>
        <v>Yes</v>
      </c>
      <c r="P885" s="7" t="str">
        <f t="shared" si="55"/>
        <v>Closed</v>
      </c>
      <c r="Q885" s="6">
        <v>4</v>
      </c>
      <c r="R885" s="7" t="s">
        <v>196</v>
      </c>
    </row>
    <row r="886" spans="1:18" x14ac:dyDescent="0.35">
      <c r="A886" s="6">
        <v>885</v>
      </c>
      <c r="B886" s="7" t="s">
        <v>1082</v>
      </c>
      <c r="C886" s="6">
        <v>14</v>
      </c>
      <c r="D886" s="6">
        <v>1</v>
      </c>
      <c r="E886" s="6">
        <v>12</v>
      </c>
      <c r="F886" s="6">
        <v>3</v>
      </c>
      <c r="G886" s="9">
        <v>45803.745451388902</v>
      </c>
      <c r="H886" s="9">
        <v>45803.870451388902</v>
      </c>
      <c r="I886" s="9">
        <v>45804.932951388902</v>
      </c>
      <c r="J886" s="9">
        <v>45804.953784722202</v>
      </c>
      <c r="K886" s="7" t="s">
        <v>195</v>
      </c>
      <c r="L886" s="10">
        <f t="shared" si="52"/>
        <v>3</v>
      </c>
      <c r="M886" s="10">
        <f t="shared" si="53"/>
        <v>25.5</v>
      </c>
      <c r="N886" s="10">
        <f t="shared" si="54"/>
        <v>28.999999999185093</v>
      </c>
      <c r="O886" s="7" t="str">
        <f>IF(ISBLANK(I886),"N/A",IF(((I886-H886)*24)&gt;INDEX(Dim_ServiceType!$E$2:$E$16,MATCH(E886,Dim_ServiceType!$A$2:$A$16,0)),"Yes","No"))</f>
        <v>Yes</v>
      </c>
      <c r="P886" s="7" t="str">
        <f t="shared" si="55"/>
        <v>Closed</v>
      </c>
      <c r="Q886" s="6">
        <v>4</v>
      </c>
      <c r="R886" s="7" t="s">
        <v>193</v>
      </c>
    </row>
    <row r="887" spans="1:18" x14ac:dyDescent="0.35">
      <c r="A887" s="6">
        <v>886</v>
      </c>
      <c r="B887" s="7" t="s">
        <v>1083</v>
      </c>
      <c r="C887" s="6">
        <v>5</v>
      </c>
      <c r="D887" s="6">
        <v>4</v>
      </c>
      <c r="E887" s="6">
        <v>6</v>
      </c>
      <c r="F887" s="6">
        <v>15</v>
      </c>
      <c r="G887" s="9">
        <v>45658.413506944496</v>
      </c>
      <c r="H887" s="9">
        <v>45658.496840277803</v>
      </c>
      <c r="I887" s="9">
        <v>45660.305173611101</v>
      </c>
      <c r="J887" s="9">
        <v>45660.555173611101</v>
      </c>
      <c r="K887" s="7" t="s">
        <v>200</v>
      </c>
      <c r="L887" s="10">
        <f t="shared" si="52"/>
        <v>1.9999999993597157</v>
      </c>
      <c r="M887" s="10">
        <f t="shared" si="53"/>
        <v>43.399999999150168</v>
      </c>
      <c r="N887" s="10">
        <f t="shared" si="54"/>
        <v>51.399999998509884</v>
      </c>
      <c r="O887" s="7" t="str">
        <f>IF(ISBLANK(I887),"N/A",IF(((I887-H887)*24)&gt;INDEX(Dim_ServiceType!$E$2:$E$16,MATCH(E887,Dim_ServiceType!$A$2:$A$16,0)),"Yes","No"))</f>
        <v>No</v>
      </c>
      <c r="P887" s="7" t="str">
        <f t="shared" si="55"/>
        <v>Closed</v>
      </c>
      <c r="Q887" s="6">
        <v>5</v>
      </c>
      <c r="R887" s="7" t="s">
        <v>196</v>
      </c>
    </row>
    <row r="888" spans="1:18" x14ac:dyDescent="0.35">
      <c r="A888" s="6">
        <v>887</v>
      </c>
      <c r="B888" s="7" t="s">
        <v>1084</v>
      </c>
      <c r="C888" s="6">
        <v>6</v>
      </c>
      <c r="D888" s="6">
        <v>10</v>
      </c>
      <c r="E888" s="6">
        <v>7</v>
      </c>
      <c r="F888" s="6">
        <v>1</v>
      </c>
      <c r="G888" s="9">
        <v>45742.691898148201</v>
      </c>
      <c r="H888" s="9">
        <v>45742.816898148201</v>
      </c>
      <c r="I888" s="9">
        <v>45743.971064814803</v>
      </c>
      <c r="J888" s="9">
        <v>45744.971064814803</v>
      </c>
      <c r="K888" s="7" t="s">
        <v>200</v>
      </c>
      <c r="L888" s="10">
        <f t="shared" si="52"/>
        <v>3</v>
      </c>
      <c r="M888" s="10">
        <f t="shared" si="53"/>
        <v>27.699999998440035</v>
      </c>
      <c r="N888" s="10">
        <f t="shared" si="54"/>
        <v>54.699999998440035</v>
      </c>
      <c r="O888" s="7" t="str">
        <f>IF(ISBLANK(I888),"N/A",IF(((I888-H888)*24)&gt;INDEX(Dim_ServiceType!$E$2:$E$16,MATCH(E888,Dim_ServiceType!$A$2:$A$16,0)),"Yes","No"))</f>
        <v>Yes</v>
      </c>
      <c r="P888" s="7" t="str">
        <f t="shared" si="55"/>
        <v>Closed</v>
      </c>
      <c r="Q888" s="6">
        <v>2</v>
      </c>
      <c r="R888" s="7" t="s">
        <v>196</v>
      </c>
    </row>
    <row r="889" spans="1:18" x14ac:dyDescent="0.35">
      <c r="A889" s="6">
        <v>888</v>
      </c>
      <c r="B889" s="7" t="s">
        <v>1085</v>
      </c>
      <c r="C889" s="6">
        <v>4</v>
      </c>
      <c r="D889" s="6">
        <v>5</v>
      </c>
      <c r="E889" s="6">
        <v>14</v>
      </c>
      <c r="F889" s="6">
        <v>15</v>
      </c>
      <c r="G889" s="9">
        <v>45926.948865740698</v>
      </c>
      <c r="H889" s="9">
        <v>45926.969699074099</v>
      </c>
      <c r="I889" s="9">
        <v>45927.136365740698</v>
      </c>
      <c r="J889" s="9">
        <v>45927.219699074099</v>
      </c>
      <c r="K889" s="7" t="s">
        <v>192</v>
      </c>
      <c r="L889" s="10">
        <f t="shared" si="52"/>
        <v>0.50000000162981451</v>
      </c>
      <c r="M889" s="10">
        <f t="shared" si="53"/>
        <v>3.9999999983701855</v>
      </c>
      <c r="N889" s="10">
        <f t="shared" si="54"/>
        <v>6.5000000016298145</v>
      </c>
      <c r="O889" s="7" t="str">
        <f>IF(ISBLANK(I889),"N/A",IF(((I889-H889)*24)&gt;INDEX(Dim_ServiceType!$E$2:$E$16,MATCH(E889,Dim_ServiceType!$A$2:$A$16,0)),"Yes","No"))</f>
        <v>No</v>
      </c>
      <c r="P889" s="7" t="str">
        <f t="shared" si="55"/>
        <v>Closed</v>
      </c>
      <c r="Q889" s="6">
        <v>2</v>
      </c>
      <c r="R889" s="7" t="s">
        <v>193</v>
      </c>
    </row>
    <row r="890" spans="1:18" x14ac:dyDescent="0.35">
      <c r="A890" s="6">
        <v>889</v>
      </c>
      <c r="B890" s="7" t="s">
        <v>1086</v>
      </c>
      <c r="C890" s="6">
        <v>10</v>
      </c>
      <c r="D890" s="6">
        <v>2</v>
      </c>
      <c r="E890" s="6">
        <v>7</v>
      </c>
      <c r="F890" s="6">
        <v>7</v>
      </c>
      <c r="G890" s="9">
        <v>45813.156076388899</v>
      </c>
      <c r="H890" s="9">
        <v>45813.3227430556</v>
      </c>
      <c r="I890" s="9">
        <v>45814.343576388899</v>
      </c>
      <c r="J890" s="9">
        <v>45814.5102430556</v>
      </c>
      <c r="K890" s="7" t="s">
        <v>200</v>
      </c>
      <c r="L890" s="10">
        <f t="shared" si="52"/>
        <v>4.0000000008149073</v>
      </c>
      <c r="M890" s="10">
        <f t="shared" si="53"/>
        <v>24.499999999185093</v>
      </c>
      <c r="N890" s="10">
        <f t="shared" si="54"/>
        <v>32.500000000814907</v>
      </c>
      <c r="O890" s="7" t="str">
        <f>IF(ISBLANK(I890),"N/A",IF(((I890-H890)*24)&gt;INDEX(Dim_ServiceType!$E$2:$E$16,MATCH(E890,Dim_ServiceType!$A$2:$A$16,0)),"Yes","No"))</f>
        <v>Yes</v>
      </c>
      <c r="P890" s="7" t="str">
        <f t="shared" si="55"/>
        <v>Closed</v>
      </c>
      <c r="Q890" s="6">
        <v>3</v>
      </c>
      <c r="R890" s="7" t="s">
        <v>196</v>
      </c>
    </row>
    <row r="891" spans="1:18" x14ac:dyDescent="0.35">
      <c r="A891" s="6">
        <v>890</v>
      </c>
      <c r="B891" s="7" t="s">
        <v>1087</v>
      </c>
      <c r="C891" s="6">
        <v>9</v>
      </c>
      <c r="D891" s="6">
        <v>4</v>
      </c>
      <c r="E891" s="6">
        <v>14</v>
      </c>
      <c r="F891" s="6">
        <v>9</v>
      </c>
      <c r="G891" s="9">
        <v>45895.565034722204</v>
      </c>
      <c r="H891" s="9">
        <v>45896.565034722204</v>
      </c>
      <c r="I891" s="9"/>
      <c r="J891" s="9"/>
      <c r="K891" s="7" t="s">
        <v>198</v>
      </c>
      <c r="L891" s="10">
        <f t="shared" si="52"/>
        <v>24</v>
      </c>
      <c r="M891" s="10" t="str">
        <f t="shared" si="53"/>
        <v/>
      </c>
      <c r="N891" s="10" t="str">
        <f t="shared" si="54"/>
        <v/>
      </c>
      <c r="O891" s="7" t="str">
        <f>IF(ISBLANK(I891),"N/A",IF(((I891-H891)*24)&gt;INDEX(Dim_ServiceType!$E$2:$E$16,MATCH(E891,Dim_ServiceType!$A$2:$A$16,0)),"Yes","No"))</f>
        <v>N/A</v>
      </c>
      <c r="P891" s="7" t="str">
        <f t="shared" si="55"/>
        <v>In Progress</v>
      </c>
      <c r="Q891" s="6"/>
      <c r="R891" s="7"/>
    </row>
    <row r="892" spans="1:18" x14ac:dyDescent="0.35">
      <c r="A892" s="6">
        <v>891</v>
      </c>
      <c r="B892" s="7" t="s">
        <v>1088</v>
      </c>
      <c r="C892" s="6">
        <v>10</v>
      </c>
      <c r="D892" s="6">
        <v>12</v>
      </c>
      <c r="E892" s="6">
        <v>2</v>
      </c>
      <c r="F892" s="6">
        <v>13</v>
      </c>
      <c r="G892" s="9">
        <v>45743.988726851901</v>
      </c>
      <c r="H892" s="9">
        <v>45744.488726851901</v>
      </c>
      <c r="I892" s="9"/>
      <c r="J892" s="9"/>
      <c r="K892" s="7" t="s">
        <v>192</v>
      </c>
      <c r="L892" s="10">
        <f t="shared" si="52"/>
        <v>12</v>
      </c>
      <c r="M892" s="10" t="str">
        <f t="shared" si="53"/>
        <v/>
      </c>
      <c r="N892" s="10" t="str">
        <f t="shared" si="54"/>
        <v/>
      </c>
      <c r="O892" s="7" t="str">
        <f>IF(ISBLANK(I892),"N/A",IF(((I892-H892)*24)&gt;INDEX(Dim_ServiceType!$E$2:$E$16,MATCH(E892,Dim_ServiceType!$A$2:$A$16,0)),"Yes","No"))</f>
        <v>N/A</v>
      </c>
      <c r="P892" s="7" t="str">
        <f t="shared" si="55"/>
        <v>In Progress</v>
      </c>
      <c r="Q892" s="6"/>
      <c r="R892" s="7"/>
    </row>
    <row r="893" spans="1:18" x14ac:dyDescent="0.35">
      <c r="A893" s="6">
        <v>892</v>
      </c>
      <c r="B893" s="7" t="s">
        <v>1089</v>
      </c>
      <c r="C893" s="6">
        <v>5</v>
      </c>
      <c r="D893" s="6">
        <v>1</v>
      </c>
      <c r="E893" s="6">
        <v>2</v>
      </c>
      <c r="F893" s="6">
        <v>10</v>
      </c>
      <c r="G893" s="9">
        <v>45994.6196643519</v>
      </c>
      <c r="H893" s="9"/>
      <c r="I893" s="9"/>
      <c r="J893" s="9"/>
      <c r="K893" s="7" t="s">
        <v>207</v>
      </c>
      <c r="L893" s="10" t="str">
        <f t="shared" si="52"/>
        <v/>
      </c>
      <c r="M893" s="10" t="str">
        <f t="shared" si="53"/>
        <v/>
      </c>
      <c r="N893" s="10" t="str">
        <f t="shared" si="54"/>
        <v/>
      </c>
      <c r="O893" s="7" t="str">
        <f>IF(ISBLANK(I893),"N/A",IF(((I893-H893)*24)&gt;INDEX(Dim_ServiceType!$E$2:$E$16,MATCH(E893,Dim_ServiceType!$A$2:$A$16,0)),"Yes","No"))</f>
        <v>N/A</v>
      </c>
      <c r="P893" s="7" t="str">
        <f t="shared" si="55"/>
        <v>Open (Unassigned)</v>
      </c>
      <c r="Q893" s="6"/>
      <c r="R893" s="7"/>
    </row>
    <row r="894" spans="1:18" x14ac:dyDescent="0.35">
      <c r="A894" s="6">
        <v>893</v>
      </c>
      <c r="B894" s="7" t="s">
        <v>1090</v>
      </c>
      <c r="C894" s="6">
        <v>11</v>
      </c>
      <c r="D894" s="6">
        <v>5</v>
      </c>
      <c r="E894" s="6">
        <v>11</v>
      </c>
      <c r="F894" s="6">
        <v>6</v>
      </c>
      <c r="G894" s="9">
        <v>45952.932627314804</v>
      </c>
      <c r="H894" s="9">
        <v>45952.974293981497</v>
      </c>
      <c r="I894" s="9">
        <v>45953.236793981501</v>
      </c>
      <c r="J894" s="9">
        <v>45953.736793981501</v>
      </c>
      <c r="K894" s="7" t="s">
        <v>192</v>
      </c>
      <c r="L894" s="10">
        <f t="shared" si="52"/>
        <v>1.0000000006402843</v>
      </c>
      <c r="M894" s="10">
        <f t="shared" si="53"/>
        <v>6.3000000001047738</v>
      </c>
      <c r="N894" s="10">
        <f t="shared" si="54"/>
        <v>19.300000000745058</v>
      </c>
      <c r="O894" s="7" t="str">
        <f>IF(ISBLANK(I894),"N/A",IF(((I894-H894)*24)&gt;INDEX(Dim_ServiceType!$E$2:$E$16,MATCH(E894,Dim_ServiceType!$A$2:$A$16,0)),"Yes","No"))</f>
        <v>No</v>
      </c>
      <c r="P894" s="7" t="str">
        <f t="shared" si="55"/>
        <v>Closed</v>
      </c>
      <c r="Q894" s="6">
        <v>3</v>
      </c>
      <c r="R894" s="7" t="s">
        <v>196</v>
      </c>
    </row>
    <row r="895" spans="1:18" x14ac:dyDescent="0.35">
      <c r="A895" s="6">
        <v>894</v>
      </c>
      <c r="B895" s="7" t="s">
        <v>1091</v>
      </c>
      <c r="C895" s="6">
        <v>4</v>
      </c>
      <c r="D895" s="6">
        <v>8</v>
      </c>
      <c r="E895" s="6">
        <v>8</v>
      </c>
      <c r="F895" s="6">
        <v>10</v>
      </c>
      <c r="G895" s="9">
        <v>45847.457708333299</v>
      </c>
      <c r="H895" s="9">
        <v>45847.707708333299</v>
      </c>
      <c r="I895" s="9">
        <v>45847.861875000002</v>
      </c>
      <c r="J895" s="9">
        <v>45848.028541666703</v>
      </c>
      <c r="K895" s="7" t="s">
        <v>195</v>
      </c>
      <c r="L895" s="10">
        <f t="shared" si="52"/>
        <v>6</v>
      </c>
      <c r="M895" s="10">
        <f t="shared" si="53"/>
        <v>3.7000000008847564</v>
      </c>
      <c r="N895" s="10">
        <f t="shared" si="54"/>
        <v>13.700000001699664</v>
      </c>
      <c r="O895" s="7" t="str">
        <f>IF(ISBLANK(I895),"N/A",IF(((I895-H895)*24)&gt;INDEX(Dim_ServiceType!$E$2:$E$16,MATCH(E895,Dim_ServiceType!$A$2:$A$16,0)),"Yes","No"))</f>
        <v>No</v>
      </c>
      <c r="P895" s="7" t="str">
        <f t="shared" si="55"/>
        <v>Closed</v>
      </c>
      <c r="Q895" s="6">
        <v>4</v>
      </c>
      <c r="R895" s="7" t="s">
        <v>196</v>
      </c>
    </row>
    <row r="896" spans="1:18" x14ac:dyDescent="0.35">
      <c r="A896" s="6">
        <v>895</v>
      </c>
      <c r="B896" s="7" t="s">
        <v>1092</v>
      </c>
      <c r="C896" s="6">
        <v>15</v>
      </c>
      <c r="D896" s="6">
        <v>8</v>
      </c>
      <c r="E896" s="6">
        <v>11</v>
      </c>
      <c r="F896" s="6">
        <v>6</v>
      </c>
      <c r="G896" s="9">
        <v>45970.638182870403</v>
      </c>
      <c r="H896" s="9">
        <v>45970.804849537002</v>
      </c>
      <c r="I896" s="9">
        <v>45971.404849537001</v>
      </c>
      <c r="J896" s="9">
        <v>45971.488182870402</v>
      </c>
      <c r="K896" s="7" t="s">
        <v>200</v>
      </c>
      <c r="L896" s="10">
        <f t="shared" si="52"/>
        <v>3.9999999983701855</v>
      </c>
      <c r="M896" s="10">
        <f t="shared" si="53"/>
        <v>14.399999999965075</v>
      </c>
      <c r="N896" s="10">
        <f t="shared" si="54"/>
        <v>20.399999999965075</v>
      </c>
      <c r="O896" s="7" t="str">
        <f>IF(ISBLANK(I896),"N/A",IF(((I896-H896)*24)&gt;INDEX(Dim_ServiceType!$E$2:$E$16,MATCH(E896,Dim_ServiceType!$A$2:$A$16,0)),"Yes","No"))</f>
        <v>Yes</v>
      </c>
      <c r="P896" s="7" t="str">
        <f t="shared" si="55"/>
        <v>Closed</v>
      </c>
      <c r="Q896" s="6">
        <v>3</v>
      </c>
      <c r="R896" s="7" t="s">
        <v>196</v>
      </c>
    </row>
    <row r="897" spans="1:18" x14ac:dyDescent="0.35">
      <c r="A897" s="6">
        <v>896</v>
      </c>
      <c r="B897" s="7" t="s">
        <v>1093</v>
      </c>
      <c r="C897" s="6">
        <v>1</v>
      </c>
      <c r="D897" s="6">
        <v>12</v>
      </c>
      <c r="E897" s="6">
        <v>6</v>
      </c>
      <c r="F897" s="6">
        <v>1</v>
      </c>
      <c r="G897" s="9">
        <v>45860.556956018503</v>
      </c>
      <c r="H897" s="9">
        <v>45860.890289351897</v>
      </c>
      <c r="I897" s="9">
        <v>45863.390289351897</v>
      </c>
      <c r="J897" s="9">
        <v>45863.890289351897</v>
      </c>
      <c r="K897" s="7" t="s">
        <v>207</v>
      </c>
      <c r="L897" s="10">
        <f t="shared" si="52"/>
        <v>8.0000000014551915</v>
      </c>
      <c r="M897" s="10">
        <f t="shared" si="53"/>
        <v>60</v>
      </c>
      <c r="N897" s="10">
        <f t="shared" si="54"/>
        <v>80.000000001455192</v>
      </c>
      <c r="O897" s="7" t="str">
        <f>IF(ISBLANK(I897),"N/A",IF(((I897-H897)*24)&gt;INDEX(Dim_ServiceType!$E$2:$E$16,MATCH(E897,Dim_ServiceType!$A$2:$A$16,0)),"Yes","No"))</f>
        <v>Yes</v>
      </c>
      <c r="P897" s="7" t="str">
        <f t="shared" si="55"/>
        <v>Closed</v>
      </c>
      <c r="Q897" s="6">
        <v>4</v>
      </c>
      <c r="R897" s="7" t="s">
        <v>196</v>
      </c>
    </row>
    <row r="898" spans="1:18" x14ac:dyDescent="0.35">
      <c r="A898" s="6">
        <v>897</v>
      </c>
      <c r="B898" s="7" t="s">
        <v>1094</v>
      </c>
      <c r="C898" s="6">
        <v>9</v>
      </c>
      <c r="D898" s="6">
        <v>14</v>
      </c>
      <c r="E898" s="6">
        <v>10</v>
      </c>
      <c r="F898" s="6">
        <v>4</v>
      </c>
      <c r="G898" s="9">
        <v>45996.482175925899</v>
      </c>
      <c r="H898" s="9"/>
      <c r="I898" s="9"/>
      <c r="J898" s="9"/>
      <c r="K898" s="7" t="s">
        <v>192</v>
      </c>
      <c r="L898" s="10" t="str">
        <f t="shared" ref="L898:L961" si="56">IF(ISBLANK(H898),"",(H898-G898)*24)</f>
        <v/>
      </c>
      <c r="M898" s="10" t="str">
        <f t="shared" ref="M898:M961" si="57">IF(ISBLANK(I898),"",(I898-H898)*24)</f>
        <v/>
      </c>
      <c r="N898" s="10" t="str">
        <f t="shared" ref="N898:N961" si="58">IF(ISBLANK(J898),"",(J898-G898)*24)</f>
        <v/>
      </c>
      <c r="O898" s="7" t="str">
        <f>IF(ISBLANK(I898),"N/A",IF(((I898-H898)*24)&gt;INDEX(Dim_ServiceType!$E$2:$E$16,MATCH(E898,Dim_ServiceType!$A$2:$A$16,0)),"Yes","No"))</f>
        <v>N/A</v>
      </c>
      <c r="P898" s="7" t="str">
        <f t="shared" ref="P898:P961" si="59">IF(ISBLANK(H898),"Open (Unassigned)",IF(ISBLANK(I898),"In Progress",IF(ISBLANK(J898),"Resolved (Pending Closure)","Closed")))</f>
        <v>Open (Unassigned)</v>
      </c>
      <c r="Q898" s="6"/>
      <c r="R898" s="7"/>
    </row>
    <row r="899" spans="1:18" x14ac:dyDescent="0.35">
      <c r="A899" s="6">
        <v>898</v>
      </c>
      <c r="B899" s="7" t="s">
        <v>1095</v>
      </c>
      <c r="C899" s="6">
        <v>11</v>
      </c>
      <c r="D899" s="6">
        <v>5</v>
      </c>
      <c r="E899" s="6">
        <v>9</v>
      </c>
      <c r="F899" s="6">
        <v>15</v>
      </c>
      <c r="G899" s="9">
        <v>45768.111527777801</v>
      </c>
      <c r="H899" s="9">
        <v>45768.2781944444</v>
      </c>
      <c r="I899" s="9"/>
      <c r="J899" s="9"/>
      <c r="K899" s="7" t="s">
        <v>200</v>
      </c>
      <c r="L899" s="10">
        <f t="shared" si="56"/>
        <v>3.9999999983701855</v>
      </c>
      <c r="M899" s="10" t="str">
        <f t="shared" si="57"/>
        <v/>
      </c>
      <c r="N899" s="10" t="str">
        <f t="shared" si="58"/>
        <v/>
      </c>
      <c r="O899" s="7" t="str">
        <f>IF(ISBLANK(I899),"N/A",IF(((I899-H899)*24)&gt;INDEX(Dim_ServiceType!$E$2:$E$16,MATCH(E899,Dim_ServiceType!$A$2:$A$16,0)),"Yes","No"))</f>
        <v>N/A</v>
      </c>
      <c r="P899" s="7" t="str">
        <f t="shared" si="59"/>
        <v>In Progress</v>
      </c>
      <c r="Q899" s="6"/>
      <c r="R899" s="7"/>
    </row>
    <row r="900" spans="1:18" x14ac:dyDescent="0.35">
      <c r="A900" s="6">
        <v>899</v>
      </c>
      <c r="B900" s="7" t="s">
        <v>1096</v>
      </c>
      <c r="C900" s="6">
        <v>10</v>
      </c>
      <c r="D900" s="6">
        <v>8</v>
      </c>
      <c r="E900" s="6">
        <v>5</v>
      </c>
      <c r="F900" s="6">
        <v>1</v>
      </c>
      <c r="G900" s="9">
        <v>45736.646064814799</v>
      </c>
      <c r="H900" s="9">
        <v>45737.646064814799</v>
      </c>
      <c r="I900" s="9">
        <v>45739.946064814802</v>
      </c>
      <c r="J900" s="9">
        <v>45739.987731481502</v>
      </c>
      <c r="K900" s="7" t="s">
        <v>192</v>
      </c>
      <c r="L900" s="10">
        <f t="shared" si="56"/>
        <v>24</v>
      </c>
      <c r="M900" s="10">
        <f t="shared" si="57"/>
        <v>55.200000000069849</v>
      </c>
      <c r="N900" s="10">
        <f t="shared" si="58"/>
        <v>80.200000000884756</v>
      </c>
      <c r="O900" s="7" t="str">
        <f>IF(ISBLANK(I900),"N/A",IF(((I900-H900)*24)&gt;INDEX(Dim_ServiceType!$E$2:$E$16,MATCH(E900,Dim_ServiceType!$A$2:$A$16,0)),"Yes","No"))</f>
        <v>Yes</v>
      </c>
      <c r="P900" s="7" t="str">
        <f t="shared" si="59"/>
        <v>Closed</v>
      </c>
      <c r="Q900" s="6">
        <v>4</v>
      </c>
      <c r="R900" s="7" t="s">
        <v>196</v>
      </c>
    </row>
    <row r="901" spans="1:18" x14ac:dyDescent="0.35">
      <c r="A901" s="6">
        <v>900</v>
      </c>
      <c r="B901" s="7" t="s">
        <v>1097</v>
      </c>
      <c r="C901" s="6">
        <v>8</v>
      </c>
      <c r="D901" s="6">
        <v>8</v>
      </c>
      <c r="E901" s="6">
        <v>5</v>
      </c>
      <c r="F901" s="6">
        <v>5</v>
      </c>
      <c r="G901" s="9">
        <v>45848.8688541667</v>
      </c>
      <c r="H901" s="9">
        <v>45849.202187499999</v>
      </c>
      <c r="I901" s="9">
        <v>45849.485520833303</v>
      </c>
      <c r="J901" s="9">
        <v>45849.506354166697</v>
      </c>
      <c r="K901" s="7" t="s">
        <v>192</v>
      </c>
      <c r="L901" s="10">
        <f t="shared" si="56"/>
        <v>7.9999999991850927</v>
      </c>
      <c r="M901" s="10">
        <f t="shared" si="57"/>
        <v>6.7999999992898665</v>
      </c>
      <c r="N901" s="10">
        <f t="shared" si="58"/>
        <v>15.299999999930151</v>
      </c>
      <c r="O901" s="7" t="str">
        <f>IF(ISBLANK(I901),"N/A",IF(((I901-H901)*24)&gt;INDEX(Dim_ServiceType!$E$2:$E$16,MATCH(E901,Dim_ServiceType!$A$2:$A$16,0)),"Yes","No"))</f>
        <v>No</v>
      </c>
      <c r="P901" s="7" t="str">
        <f t="shared" si="59"/>
        <v>Closed</v>
      </c>
      <c r="Q901" s="6">
        <v>3</v>
      </c>
      <c r="R901" s="7" t="s">
        <v>196</v>
      </c>
    </row>
    <row r="902" spans="1:18" x14ac:dyDescent="0.35">
      <c r="A902" s="6">
        <v>901</v>
      </c>
      <c r="B902" s="7" t="s">
        <v>1098</v>
      </c>
      <c r="C902" s="6">
        <v>3</v>
      </c>
      <c r="D902" s="6">
        <v>15</v>
      </c>
      <c r="E902" s="6">
        <v>4</v>
      </c>
      <c r="F902" s="6">
        <v>7</v>
      </c>
      <c r="G902" s="9">
        <v>45845.271828703699</v>
      </c>
      <c r="H902" s="9">
        <v>45845.355162036998</v>
      </c>
      <c r="I902" s="9">
        <v>45846.5468287037</v>
      </c>
      <c r="J902" s="9">
        <v>45846.567662037</v>
      </c>
      <c r="K902" s="7" t="s">
        <v>192</v>
      </c>
      <c r="L902" s="10">
        <f t="shared" si="56"/>
        <v>1.9999999991850927</v>
      </c>
      <c r="M902" s="10">
        <f t="shared" si="57"/>
        <v>28.600000000849832</v>
      </c>
      <c r="N902" s="10">
        <f t="shared" si="58"/>
        <v>31.099999999220017</v>
      </c>
      <c r="O902" s="7" t="str">
        <f>IF(ISBLANK(I902),"N/A",IF(((I902-H902)*24)&gt;INDEX(Dim_ServiceType!$E$2:$E$16,MATCH(E902,Dim_ServiceType!$A$2:$A$16,0)),"Yes","No"))</f>
        <v>Yes</v>
      </c>
      <c r="P902" s="7" t="str">
        <f t="shared" si="59"/>
        <v>Closed</v>
      </c>
      <c r="Q902" s="6">
        <v>1</v>
      </c>
      <c r="R902" s="7" t="s">
        <v>193</v>
      </c>
    </row>
    <row r="903" spans="1:18" x14ac:dyDescent="0.35">
      <c r="A903" s="6">
        <v>902</v>
      </c>
      <c r="B903" s="7" t="s">
        <v>1099</v>
      </c>
      <c r="C903" s="6">
        <v>7</v>
      </c>
      <c r="D903" s="6">
        <v>13</v>
      </c>
      <c r="E903" s="6">
        <v>4</v>
      </c>
      <c r="F903" s="6">
        <v>13</v>
      </c>
      <c r="G903" s="9">
        <v>45802.670335648101</v>
      </c>
      <c r="H903" s="9">
        <v>45803.003668981502</v>
      </c>
      <c r="I903" s="9">
        <v>45805.637002314797</v>
      </c>
      <c r="J903" s="9">
        <v>45805.887002314797</v>
      </c>
      <c r="K903" s="7" t="s">
        <v>207</v>
      </c>
      <c r="L903" s="10">
        <f t="shared" si="56"/>
        <v>8.0000000016298145</v>
      </c>
      <c r="M903" s="10">
        <f t="shared" si="57"/>
        <v>63.199999999080319</v>
      </c>
      <c r="N903" s="10">
        <f t="shared" si="58"/>
        <v>77.200000000710133</v>
      </c>
      <c r="O903" s="7" t="str">
        <f>IF(ISBLANK(I903),"N/A",IF(((I903-H903)*24)&gt;INDEX(Dim_ServiceType!$E$2:$E$16,MATCH(E903,Dim_ServiceType!$A$2:$A$16,0)),"Yes","No"))</f>
        <v>Yes</v>
      </c>
      <c r="P903" s="7" t="str">
        <f t="shared" si="59"/>
        <v>Closed</v>
      </c>
      <c r="Q903" s="6">
        <v>5</v>
      </c>
      <c r="R903" s="7" t="s">
        <v>196</v>
      </c>
    </row>
    <row r="904" spans="1:18" x14ac:dyDescent="0.35">
      <c r="A904" s="6">
        <v>903</v>
      </c>
      <c r="B904" s="7" t="s">
        <v>1100</v>
      </c>
      <c r="C904" s="6">
        <v>15</v>
      </c>
      <c r="D904" s="6">
        <v>5</v>
      </c>
      <c r="E904" s="6">
        <v>4</v>
      </c>
      <c r="F904" s="6">
        <v>9</v>
      </c>
      <c r="G904" s="9">
        <v>45932.472673611097</v>
      </c>
      <c r="H904" s="9">
        <v>45933.222673611097</v>
      </c>
      <c r="I904" s="9">
        <v>45934.172673611101</v>
      </c>
      <c r="J904" s="9">
        <v>45934.339340277802</v>
      </c>
      <c r="K904" s="7" t="s">
        <v>192</v>
      </c>
      <c r="L904" s="10">
        <f t="shared" si="56"/>
        <v>18</v>
      </c>
      <c r="M904" s="10">
        <f t="shared" si="57"/>
        <v>22.800000000104774</v>
      </c>
      <c r="N904" s="10">
        <f t="shared" si="58"/>
        <v>44.800000000919681</v>
      </c>
      <c r="O904" s="7" t="str">
        <f>IF(ISBLANK(I904),"N/A",IF(((I904-H904)*24)&gt;INDEX(Dim_ServiceType!$E$2:$E$16,MATCH(E904,Dim_ServiceType!$A$2:$A$16,0)),"Yes","No"))</f>
        <v>No</v>
      </c>
      <c r="P904" s="7" t="str">
        <f t="shared" si="59"/>
        <v>Closed</v>
      </c>
      <c r="Q904" s="6">
        <v>2</v>
      </c>
      <c r="R904" s="7" t="s">
        <v>196</v>
      </c>
    </row>
    <row r="905" spans="1:18" x14ac:dyDescent="0.35">
      <c r="A905" s="6">
        <v>904</v>
      </c>
      <c r="B905" s="7" t="s">
        <v>1101</v>
      </c>
      <c r="C905" s="6">
        <v>5</v>
      </c>
      <c r="D905" s="6">
        <v>15</v>
      </c>
      <c r="E905" s="6">
        <v>12</v>
      </c>
      <c r="F905" s="6">
        <v>8</v>
      </c>
      <c r="G905" s="9">
        <v>45767.539259259298</v>
      </c>
      <c r="H905" s="9">
        <v>45768.289259259298</v>
      </c>
      <c r="I905" s="9">
        <v>45769.093425925901</v>
      </c>
      <c r="J905" s="9">
        <v>45769.135092592602</v>
      </c>
      <c r="K905" s="7" t="s">
        <v>207</v>
      </c>
      <c r="L905" s="10">
        <f t="shared" si="56"/>
        <v>18</v>
      </c>
      <c r="M905" s="10">
        <f t="shared" si="57"/>
        <v>19.299999998474959</v>
      </c>
      <c r="N905" s="10">
        <f t="shared" si="58"/>
        <v>38.299999999289867</v>
      </c>
      <c r="O905" s="7" t="str">
        <f>IF(ISBLANK(I905),"N/A",IF(((I905-H905)*24)&gt;INDEX(Dim_ServiceType!$E$2:$E$16,MATCH(E905,Dim_ServiceType!$A$2:$A$16,0)),"Yes","No"))</f>
        <v>No</v>
      </c>
      <c r="P905" s="7" t="str">
        <f t="shared" si="59"/>
        <v>Closed</v>
      </c>
      <c r="Q905" s="6">
        <v>3</v>
      </c>
      <c r="R905" s="7" t="s">
        <v>196</v>
      </c>
    </row>
    <row r="906" spans="1:18" x14ac:dyDescent="0.35">
      <c r="A906" s="6">
        <v>905</v>
      </c>
      <c r="B906" s="7" t="s">
        <v>1102</v>
      </c>
      <c r="C906" s="6">
        <v>12</v>
      </c>
      <c r="D906" s="6">
        <v>8</v>
      </c>
      <c r="E906" s="6">
        <v>10</v>
      </c>
      <c r="F906" s="6">
        <v>2</v>
      </c>
      <c r="G906" s="9">
        <v>45738.761701388903</v>
      </c>
      <c r="H906" s="9">
        <v>45738.886701388903</v>
      </c>
      <c r="I906" s="9">
        <v>45739.174201388902</v>
      </c>
      <c r="J906" s="9">
        <v>45739.424201388902</v>
      </c>
      <c r="K906" s="7" t="s">
        <v>200</v>
      </c>
      <c r="L906" s="10">
        <f t="shared" si="56"/>
        <v>3</v>
      </c>
      <c r="M906" s="10">
        <f t="shared" si="57"/>
        <v>6.8999999999650754</v>
      </c>
      <c r="N906" s="10">
        <f t="shared" si="58"/>
        <v>15.899999999965075</v>
      </c>
      <c r="O906" s="7" t="str">
        <f>IF(ISBLANK(I906),"N/A",IF(((I906-H906)*24)&gt;INDEX(Dim_ServiceType!$E$2:$E$16,MATCH(E906,Dim_ServiceType!$A$2:$A$16,0)),"Yes","No"))</f>
        <v>Yes</v>
      </c>
      <c r="P906" s="7" t="str">
        <f t="shared" si="59"/>
        <v>Closed</v>
      </c>
      <c r="Q906" s="6">
        <v>2</v>
      </c>
      <c r="R906" s="7" t="s">
        <v>196</v>
      </c>
    </row>
    <row r="907" spans="1:18" x14ac:dyDescent="0.35">
      <c r="A907" s="6">
        <v>906</v>
      </c>
      <c r="B907" s="7" t="s">
        <v>1103</v>
      </c>
      <c r="C907" s="6">
        <v>9</v>
      </c>
      <c r="D907" s="6">
        <v>6</v>
      </c>
      <c r="E907" s="6">
        <v>7</v>
      </c>
      <c r="F907" s="6">
        <v>6</v>
      </c>
      <c r="G907" s="9">
        <v>45973.992604166699</v>
      </c>
      <c r="H907" s="9">
        <v>45974.159270833297</v>
      </c>
      <c r="I907" s="9">
        <v>45975.050937499997</v>
      </c>
      <c r="J907" s="9">
        <v>45975.071770833303</v>
      </c>
      <c r="K907" s="7" t="s">
        <v>192</v>
      </c>
      <c r="L907" s="10">
        <f t="shared" si="56"/>
        <v>3.9999999983701855</v>
      </c>
      <c r="M907" s="10">
        <f t="shared" si="57"/>
        <v>21.400000000779983</v>
      </c>
      <c r="N907" s="10">
        <f t="shared" si="58"/>
        <v>25.899999998509884</v>
      </c>
      <c r="O907" s="7" t="str">
        <f>IF(ISBLANK(I907),"N/A",IF(((I907-H907)*24)&gt;INDEX(Dim_ServiceType!$E$2:$E$16,MATCH(E907,Dim_ServiceType!$A$2:$A$16,0)),"Yes","No"))</f>
        <v>No</v>
      </c>
      <c r="P907" s="7" t="str">
        <f t="shared" si="59"/>
        <v>Closed</v>
      </c>
      <c r="Q907" s="6">
        <v>3</v>
      </c>
      <c r="R907" s="7" t="s">
        <v>196</v>
      </c>
    </row>
    <row r="908" spans="1:18" x14ac:dyDescent="0.35">
      <c r="A908" s="6">
        <v>907</v>
      </c>
      <c r="B908" s="7" t="s">
        <v>1104</v>
      </c>
      <c r="C908" s="6">
        <v>2</v>
      </c>
      <c r="D908" s="6">
        <v>2</v>
      </c>
      <c r="E908" s="6">
        <v>8</v>
      </c>
      <c r="F908" s="6">
        <v>9</v>
      </c>
      <c r="G908" s="9">
        <v>46000.926863425899</v>
      </c>
      <c r="H908" s="9"/>
      <c r="I908" s="9"/>
      <c r="J908" s="9"/>
      <c r="K908" s="7" t="s">
        <v>200</v>
      </c>
      <c r="L908" s="10" t="str">
        <f t="shared" si="56"/>
        <v/>
      </c>
      <c r="M908" s="10" t="str">
        <f t="shared" si="57"/>
        <v/>
      </c>
      <c r="N908" s="10" t="str">
        <f t="shared" si="58"/>
        <v/>
      </c>
      <c r="O908" s="7" t="str">
        <f>IF(ISBLANK(I908),"N/A",IF(((I908-H908)*24)&gt;INDEX(Dim_ServiceType!$E$2:$E$16,MATCH(E908,Dim_ServiceType!$A$2:$A$16,0)),"Yes","No"))</f>
        <v>N/A</v>
      </c>
      <c r="P908" s="7" t="str">
        <f t="shared" si="59"/>
        <v>Open (Unassigned)</v>
      </c>
      <c r="Q908" s="6"/>
      <c r="R908" s="7"/>
    </row>
    <row r="909" spans="1:18" x14ac:dyDescent="0.35">
      <c r="A909" s="6">
        <v>908</v>
      </c>
      <c r="B909" s="7" t="s">
        <v>1105</v>
      </c>
      <c r="C909" s="6">
        <v>8</v>
      </c>
      <c r="D909" s="6">
        <v>15</v>
      </c>
      <c r="E909" s="6">
        <v>15</v>
      </c>
      <c r="F909" s="6">
        <v>15</v>
      </c>
      <c r="G909" s="9">
        <v>45778.645405092597</v>
      </c>
      <c r="H909" s="9">
        <v>45778.895405092597</v>
      </c>
      <c r="I909" s="9">
        <v>45780.116238425901</v>
      </c>
      <c r="J909" s="9">
        <v>45780.137071759302</v>
      </c>
      <c r="K909" s="7" t="s">
        <v>192</v>
      </c>
      <c r="L909" s="10">
        <f t="shared" si="56"/>
        <v>6</v>
      </c>
      <c r="M909" s="10">
        <f t="shared" si="57"/>
        <v>29.299999999289867</v>
      </c>
      <c r="N909" s="10">
        <f t="shared" si="58"/>
        <v>35.800000000919681</v>
      </c>
      <c r="O909" s="7" t="str">
        <f>IF(ISBLANK(I909),"N/A",IF(((I909-H909)*24)&gt;INDEX(Dim_ServiceType!$E$2:$E$16,MATCH(E909,Dim_ServiceType!$A$2:$A$16,0)),"Yes","No"))</f>
        <v>Yes</v>
      </c>
      <c r="P909" s="7" t="str">
        <f t="shared" si="59"/>
        <v>Closed</v>
      </c>
      <c r="Q909" s="6">
        <v>5</v>
      </c>
      <c r="R909" s="7" t="s">
        <v>196</v>
      </c>
    </row>
    <row r="910" spans="1:18" x14ac:dyDescent="0.35">
      <c r="A910" s="6">
        <v>909</v>
      </c>
      <c r="B910" s="7" t="s">
        <v>1106</v>
      </c>
      <c r="C910" s="6">
        <v>7</v>
      </c>
      <c r="D910" s="6">
        <v>3</v>
      </c>
      <c r="E910" s="6">
        <v>7</v>
      </c>
      <c r="F910" s="6">
        <v>10</v>
      </c>
      <c r="G910" s="9">
        <v>45948.127500000002</v>
      </c>
      <c r="H910" s="9">
        <v>45948.877500000002</v>
      </c>
      <c r="I910" s="9">
        <v>45950.173333333303</v>
      </c>
      <c r="J910" s="9">
        <v>45950.423333333303</v>
      </c>
      <c r="K910" s="7" t="s">
        <v>200</v>
      </c>
      <c r="L910" s="10">
        <f t="shared" si="56"/>
        <v>18</v>
      </c>
      <c r="M910" s="10">
        <f t="shared" si="57"/>
        <v>31.099999999220017</v>
      </c>
      <c r="N910" s="10">
        <f t="shared" si="58"/>
        <v>55.099999999220017</v>
      </c>
      <c r="O910" s="7" t="str">
        <f>IF(ISBLANK(I910),"N/A",IF(((I910-H910)*24)&gt;INDEX(Dim_ServiceType!$E$2:$E$16,MATCH(E910,Dim_ServiceType!$A$2:$A$16,0)),"Yes","No"))</f>
        <v>Yes</v>
      </c>
      <c r="P910" s="7" t="str">
        <f t="shared" si="59"/>
        <v>Closed</v>
      </c>
      <c r="Q910" s="6">
        <v>5</v>
      </c>
      <c r="R910" s="7" t="s">
        <v>196</v>
      </c>
    </row>
    <row r="911" spans="1:18" x14ac:dyDescent="0.35">
      <c r="A911" s="6">
        <v>910</v>
      </c>
      <c r="B911" s="7" t="s">
        <v>1107</v>
      </c>
      <c r="C911" s="6">
        <v>3</v>
      </c>
      <c r="D911" s="6">
        <v>9</v>
      </c>
      <c r="E911" s="6">
        <v>2</v>
      </c>
      <c r="F911" s="6">
        <v>2</v>
      </c>
      <c r="G911" s="9">
        <v>45792.510219907403</v>
      </c>
      <c r="H911" s="9">
        <v>45793.260219907403</v>
      </c>
      <c r="I911" s="9">
        <v>45793.510219907403</v>
      </c>
      <c r="J911" s="9">
        <v>45793.760219907403</v>
      </c>
      <c r="K911" s="7" t="s">
        <v>195</v>
      </c>
      <c r="L911" s="10">
        <f t="shared" si="56"/>
        <v>18</v>
      </c>
      <c r="M911" s="10">
        <f t="shared" si="57"/>
        <v>6</v>
      </c>
      <c r="N911" s="10">
        <f t="shared" si="58"/>
        <v>30</v>
      </c>
      <c r="O911" s="7" t="str">
        <f>IF(ISBLANK(I911),"N/A",IF(((I911-H911)*24)&gt;INDEX(Dim_ServiceType!$E$2:$E$16,MATCH(E911,Dim_ServiceType!$A$2:$A$16,0)),"Yes","No"))</f>
        <v>No</v>
      </c>
      <c r="P911" s="7" t="str">
        <f t="shared" si="59"/>
        <v>Closed</v>
      </c>
      <c r="Q911" s="6">
        <v>5</v>
      </c>
      <c r="R911" s="7" t="s">
        <v>196</v>
      </c>
    </row>
    <row r="912" spans="1:18" x14ac:dyDescent="0.35">
      <c r="A912" s="6">
        <v>911</v>
      </c>
      <c r="B912" s="7" t="s">
        <v>1108</v>
      </c>
      <c r="C912" s="6">
        <v>7</v>
      </c>
      <c r="D912" s="6">
        <v>14</v>
      </c>
      <c r="E912" s="6">
        <v>5</v>
      </c>
      <c r="F912" s="6">
        <v>14</v>
      </c>
      <c r="G912" s="9">
        <v>45883.498773148203</v>
      </c>
      <c r="H912" s="9">
        <v>45883.832106481503</v>
      </c>
      <c r="I912" s="9">
        <v>45884.461273148198</v>
      </c>
      <c r="J912" s="9">
        <v>45885.461273148198</v>
      </c>
      <c r="K912" s="7" t="s">
        <v>192</v>
      </c>
      <c r="L912" s="10">
        <f t="shared" si="56"/>
        <v>7.9999999991850927</v>
      </c>
      <c r="M912" s="10">
        <f t="shared" si="57"/>
        <v>15.100000000675209</v>
      </c>
      <c r="N912" s="10">
        <f t="shared" si="58"/>
        <v>47.099999999860302</v>
      </c>
      <c r="O912" s="7" t="str">
        <f>IF(ISBLANK(I912),"N/A",IF(((I912-H912)*24)&gt;INDEX(Dim_ServiceType!$E$2:$E$16,MATCH(E912,Dim_ServiceType!$A$2:$A$16,0)),"Yes","No"))</f>
        <v>Yes</v>
      </c>
      <c r="P912" s="7" t="str">
        <f t="shared" si="59"/>
        <v>Closed</v>
      </c>
      <c r="Q912" s="6">
        <v>4</v>
      </c>
      <c r="R912" s="7" t="s">
        <v>193</v>
      </c>
    </row>
    <row r="913" spans="1:18" x14ac:dyDescent="0.35">
      <c r="A913" s="6">
        <v>912</v>
      </c>
      <c r="B913" s="7" t="s">
        <v>1109</v>
      </c>
      <c r="C913" s="6">
        <v>9</v>
      </c>
      <c r="D913" s="6">
        <v>2</v>
      </c>
      <c r="E913" s="6">
        <v>13</v>
      </c>
      <c r="F913" s="6">
        <v>13</v>
      </c>
      <c r="G913" s="9">
        <v>45694.610532407401</v>
      </c>
      <c r="H913" s="9">
        <v>45694.777199074102</v>
      </c>
      <c r="I913" s="9">
        <v>45696.077199074098</v>
      </c>
      <c r="J913" s="9">
        <v>45696.098032407397</v>
      </c>
      <c r="K913" s="7" t="s">
        <v>200</v>
      </c>
      <c r="L913" s="10">
        <f t="shared" si="56"/>
        <v>4.0000000008149073</v>
      </c>
      <c r="M913" s="10">
        <f t="shared" si="57"/>
        <v>31.199999999895226</v>
      </c>
      <c r="N913" s="10">
        <f t="shared" si="58"/>
        <v>35.699999999895226</v>
      </c>
      <c r="O913" s="7" t="str">
        <f>IF(ISBLANK(I913),"N/A",IF(((I913-H913)*24)&gt;INDEX(Dim_ServiceType!$E$2:$E$16,MATCH(E913,Dim_ServiceType!$A$2:$A$16,0)),"Yes","No"))</f>
        <v>Yes</v>
      </c>
      <c r="P913" s="7" t="str">
        <f t="shared" si="59"/>
        <v>Closed</v>
      </c>
      <c r="Q913" s="6">
        <v>4</v>
      </c>
      <c r="R913" s="7" t="s">
        <v>196</v>
      </c>
    </row>
    <row r="914" spans="1:18" x14ac:dyDescent="0.35">
      <c r="A914" s="6">
        <v>913</v>
      </c>
      <c r="B914" s="7" t="s">
        <v>1110</v>
      </c>
      <c r="C914" s="6">
        <v>11</v>
      </c>
      <c r="D914" s="6">
        <v>12</v>
      </c>
      <c r="E914" s="6">
        <v>14</v>
      </c>
      <c r="F914" s="6">
        <v>2</v>
      </c>
      <c r="G914" s="9">
        <v>45967.938206018502</v>
      </c>
      <c r="H914" s="9">
        <v>45968.271539351903</v>
      </c>
      <c r="I914" s="9">
        <v>45968.6590393519</v>
      </c>
      <c r="J914" s="9">
        <v>45968.700706018499</v>
      </c>
      <c r="K914" s="7" t="s">
        <v>192</v>
      </c>
      <c r="L914" s="10">
        <f t="shared" si="56"/>
        <v>8.0000000016298145</v>
      </c>
      <c r="M914" s="10">
        <f t="shared" si="57"/>
        <v>9.2999999999301508</v>
      </c>
      <c r="N914" s="10">
        <f t="shared" si="58"/>
        <v>18.299999999930151</v>
      </c>
      <c r="O914" s="7" t="str">
        <f>IF(ISBLANK(I914),"N/A",IF(((I914-H914)*24)&gt;INDEX(Dim_ServiceType!$E$2:$E$16,MATCH(E914,Dim_ServiceType!$A$2:$A$16,0)),"Yes","No"))</f>
        <v>Yes</v>
      </c>
      <c r="P914" s="7" t="str">
        <f t="shared" si="59"/>
        <v>Closed</v>
      </c>
      <c r="Q914" s="6">
        <v>4</v>
      </c>
      <c r="R914" s="7" t="s">
        <v>196</v>
      </c>
    </row>
    <row r="915" spans="1:18" x14ac:dyDescent="0.35">
      <c r="A915" s="6">
        <v>914</v>
      </c>
      <c r="B915" s="7" t="s">
        <v>1111</v>
      </c>
      <c r="C915" s="6">
        <v>9</v>
      </c>
      <c r="D915" s="6">
        <v>2</v>
      </c>
      <c r="E915" s="6">
        <v>14</v>
      </c>
      <c r="F915" s="6">
        <v>11</v>
      </c>
      <c r="G915" s="9">
        <v>45776.563750000001</v>
      </c>
      <c r="H915" s="9">
        <v>45776.730416666702</v>
      </c>
      <c r="I915" s="9">
        <v>45777.151250000003</v>
      </c>
      <c r="J915" s="9">
        <v>45777.234583333302</v>
      </c>
      <c r="K915" s="7" t="s">
        <v>195</v>
      </c>
      <c r="L915" s="10">
        <f t="shared" si="56"/>
        <v>4.0000000008149073</v>
      </c>
      <c r="M915" s="10">
        <f t="shared" si="57"/>
        <v>10.099999999220017</v>
      </c>
      <c r="N915" s="10">
        <f t="shared" si="58"/>
        <v>16.099999999220017</v>
      </c>
      <c r="O915" s="7" t="str">
        <f>IF(ISBLANK(I915),"N/A",IF(((I915-H915)*24)&gt;INDEX(Dim_ServiceType!$E$2:$E$16,MATCH(E915,Dim_ServiceType!$A$2:$A$16,0)),"Yes","No"))</f>
        <v>Yes</v>
      </c>
      <c r="P915" s="7" t="str">
        <f t="shared" si="59"/>
        <v>Closed</v>
      </c>
      <c r="Q915" s="6">
        <v>4</v>
      </c>
      <c r="R915" s="7" t="s">
        <v>196</v>
      </c>
    </row>
    <row r="916" spans="1:18" x14ac:dyDescent="0.35">
      <c r="A916" s="6">
        <v>915</v>
      </c>
      <c r="B916" s="7" t="s">
        <v>1112</v>
      </c>
      <c r="C916" s="6">
        <v>12</v>
      </c>
      <c r="D916" s="6">
        <v>1</v>
      </c>
      <c r="E916" s="6">
        <v>1</v>
      </c>
      <c r="F916" s="6">
        <v>15</v>
      </c>
      <c r="G916" s="9">
        <v>45723.557418981502</v>
      </c>
      <c r="H916" s="9">
        <v>45724.057418981502</v>
      </c>
      <c r="I916" s="9">
        <v>45724.132418981499</v>
      </c>
      <c r="J916" s="9">
        <v>45724.153252314798</v>
      </c>
      <c r="K916" s="7" t="s">
        <v>200</v>
      </c>
      <c r="L916" s="10">
        <f t="shared" si="56"/>
        <v>12</v>
      </c>
      <c r="M916" s="10">
        <f t="shared" si="57"/>
        <v>1.7999999999301508</v>
      </c>
      <c r="N916" s="10">
        <f t="shared" si="58"/>
        <v>14.299999999115244</v>
      </c>
      <c r="O916" s="7" t="str">
        <f>IF(ISBLANK(I916),"N/A",IF(((I916-H916)*24)&gt;INDEX(Dim_ServiceType!$E$2:$E$16,MATCH(E916,Dim_ServiceType!$A$2:$A$16,0)),"Yes","No"))</f>
        <v>No</v>
      </c>
      <c r="P916" s="7" t="str">
        <f t="shared" si="59"/>
        <v>Closed</v>
      </c>
      <c r="Q916" s="6">
        <v>2</v>
      </c>
      <c r="R916" s="7" t="s">
        <v>196</v>
      </c>
    </row>
    <row r="917" spans="1:18" x14ac:dyDescent="0.35">
      <c r="A917" s="6">
        <v>916</v>
      </c>
      <c r="B917" s="7" t="s">
        <v>1113</v>
      </c>
      <c r="C917" s="6">
        <v>7</v>
      </c>
      <c r="D917" s="6">
        <v>11</v>
      </c>
      <c r="E917" s="6">
        <v>6</v>
      </c>
      <c r="F917" s="6">
        <v>4</v>
      </c>
      <c r="G917" s="9">
        <v>45937.965277777803</v>
      </c>
      <c r="H917" s="9">
        <v>45938.048611111102</v>
      </c>
      <c r="I917" s="9">
        <v>45949.781944444498</v>
      </c>
      <c r="J917" s="9">
        <v>45950.281944444498</v>
      </c>
      <c r="K917" s="7" t="s">
        <v>207</v>
      </c>
      <c r="L917" s="10">
        <f t="shared" si="56"/>
        <v>1.9999999991850927</v>
      </c>
      <c r="M917" s="10">
        <f t="shared" si="57"/>
        <v>281.60000000149012</v>
      </c>
      <c r="N917" s="10">
        <f t="shared" si="58"/>
        <v>295.60000000067521</v>
      </c>
      <c r="O917" s="7" t="str">
        <f>IF(ISBLANK(I917),"N/A",IF(((I917-H917)*24)&gt;INDEX(Dim_ServiceType!$E$2:$E$16,MATCH(E917,Dim_ServiceType!$A$2:$A$16,0)),"Yes","No"))</f>
        <v>Yes</v>
      </c>
      <c r="P917" s="7" t="str">
        <f t="shared" si="59"/>
        <v>Closed</v>
      </c>
      <c r="Q917" s="6">
        <v>4</v>
      </c>
      <c r="R917" s="7" t="s">
        <v>193</v>
      </c>
    </row>
    <row r="918" spans="1:18" x14ac:dyDescent="0.35">
      <c r="A918" s="6">
        <v>917</v>
      </c>
      <c r="B918" s="7" t="s">
        <v>1114</v>
      </c>
      <c r="C918" s="6">
        <v>6</v>
      </c>
      <c r="D918" s="6">
        <v>2</v>
      </c>
      <c r="E918" s="6">
        <v>15</v>
      </c>
      <c r="F918" s="6">
        <v>12</v>
      </c>
      <c r="G918" s="9">
        <v>45809.642615740697</v>
      </c>
      <c r="H918" s="9">
        <v>45809.892615740697</v>
      </c>
      <c r="I918" s="9">
        <v>45810.284282407403</v>
      </c>
      <c r="J918" s="9">
        <v>45810.534282407403</v>
      </c>
      <c r="K918" s="7" t="s">
        <v>192</v>
      </c>
      <c r="L918" s="10">
        <f t="shared" si="56"/>
        <v>6</v>
      </c>
      <c r="M918" s="10">
        <f t="shared" si="57"/>
        <v>9.4000000009546056</v>
      </c>
      <c r="N918" s="10">
        <f t="shared" si="58"/>
        <v>21.400000000954606</v>
      </c>
      <c r="O918" s="7" t="str">
        <f>IF(ISBLANK(I918),"N/A",IF(((I918-H918)*24)&gt;INDEX(Dim_ServiceType!$E$2:$E$16,MATCH(E918,Dim_ServiceType!$A$2:$A$16,0)),"Yes","No"))</f>
        <v>No</v>
      </c>
      <c r="P918" s="7" t="str">
        <f t="shared" si="59"/>
        <v>Closed</v>
      </c>
      <c r="Q918" s="6">
        <v>2</v>
      </c>
      <c r="R918" s="7" t="s">
        <v>196</v>
      </c>
    </row>
    <row r="919" spans="1:18" x14ac:dyDescent="0.35">
      <c r="A919" s="6">
        <v>918</v>
      </c>
      <c r="B919" s="7" t="s">
        <v>1115</v>
      </c>
      <c r="C919" s="6">
        <v>2</v>
      </c>
      <c r="D919" s="6">
        <v>8</v>
      </c>
      <c r="E919" s="6">
        <v>2</v>
      </c>
      <c r="F919" s="6">
        <v>12</v>
      </c>
      <c r="G919" s="9">
        <v>45722.7675115741</v>
      </c>
      <c r="H919" s="9">
        <v>45722.809178240699</v>
      </c>
      <c r="I919" s="9"/>
      <c r="J919" s="9"/>
      <c r="K919" s="7" t="s">
        <v>192</v>
      </c>
      <c r="L919" s="10">
        <f t="shared" si="56"/>
        <v>0.99999999837018549</v>
      </c>
      <c r="M919" s="10" t="str">
        <f t="shared" si="57"/>
        <v/>
      </c>
      <c r="N919" s="10" t="str">
        <f t="shared" si="58"/>
        <v/>
      </c>
      <c r="O919" s="7" t="str">
        <f>IF(ISBLANK(I919),"N/A",IF(((I919-H919)*24)&gt;INDEX(Dim_ServiceType!$E$2:$E$16,MATCH(E919,Dim_ServiceType!$A$2:$A$16,0)),"Yes","No"))</f>
        <v>N/A</v>
      </c>
      <c r="P919" s="7" t="str">
        <f t="shared" si="59"/>
        <v>In Progress</v>
      </c>
      <c r="Q919" s="6"/>
      <c r="R919" s="7"/>
    </row>
    <row r="920" spans="1:18" x14ac:dyDescent="0.35">
      <c r="A920" s="6">
        <v>919</v>
      </c>
      <c r="B920" s="7" t="s">
        <v>1116</v>
      </c>
      <c r="C920" s="6">
        <v>12</v>
      </c>
      <c r="D920" s="6">
        <v>14</v>
      </c>
      <c r="E920" s="6">
        <v>1</v>
      </c>
      <c r="F920" s="6">
        <v>7</v>
      </c>
      <c r="G920" s="9">
        <v>45732.588564814803</v>
      </c>
      <c r="H920" s="9">
        <v>45732.630231481497</v>
      </c>
      <c r="I920" s="9">
        <v>45732.7885648148</v>
      </c>
      <c r="J920" s="9">
        <v>45733.7885648148</v>
      </c>
      <c r="K920" s="7" t="s">
        <v>195</v>
      </c>
      <c r="L920" s="10">
        <f t="shared" si="56"/>
        <v>1.0000000006402843</v>
      </c>
      <c r="M920" s="10">
        <f t="shared" si="57"/>
        <v>3.7999999992898665</v>
      </c>
      <c r="N920" s="10">
        <f t="shared" si="58"/>
        <v>28.799999999930151</v>
      </c>
      <c r="O920" s="7" t="str">
        <f>IF(ISBLANK(I920),"N/A",IF(((I920-H920)*24)&gt;INDEX(Dim_ServiceType!$E$2:$E$16,MATCH(E920,Dim_ServiceType!$A$2:$A$16,0)),"Yes","No"))</f>
        <v>No</v>
      </c>
      <c r="P920" s="7" t="str">
        <f t="shared" si="59"/>
        <v>Closed</v>
      </c>
      <c r="Q920" s="6">
        <v>5</v>
      </c>
      <c r="R920" s="7" t="s">
        <v>193</v>
      </c>
    </row>
    <row r="921" spans="1:18" x14ac:dyDescent="0.35">
      <c r="A921" s="6">
        <v>920</v>
      </c>
      <c r="B921" s="7" t="s">
        <v>1117</v>
      </c>
      <c r="C921" s="6">
        <v>11</v>
      </c>
      <c r="D921" s="6">
        <v>2</v>
      </c>
      <c r="E921" s="6">
        <v>7</v>
      </c>
      <c r="F921" s="6">
        <v>11</v>
      </c>
      <c r="G921" s="9">
        <v>45969.045324074097</v>
      </c>
      <c r="H921" s="9">
        <v>45969.211990740703</v>
      </c>
      <c r="I921" s="9">
        <v>45970.449490740699</v>
      </c>
      <c r="J921" s="9">
        <v>45970.949490740699</v>
      </c>
      <c r="K921" s="7" t="s">
        <v>198</v>
      </c>
      <c r="L921" s="10">
        <f t="shared" si="56"/>
        <v>3.9999999985448085</v>
      </c>
      <c r="M921" s="10">
        <f t="shared" si="57"/>
        <v>29.699999999895226</v>
      </c>
      <c r="N921" s="10">
        <f t="shared" si="58"/>
        <v>45.699999998440035</v>
      </c>
      <c r="O921" s="7" t="str">
        <f>IF(ISBLANK(I921),"N/A",IF(((I921-H921)*24)&gt;INDEX(Dim_ServiceType!$E$2:$E$16,MATCH(E921,Dim_ServiceType!$A$2:$A$16,0)),"Yes","No"))</f>
        <v>Yes</v>
      </c>
      <c r="P921" s="7" t="str">
        <f t="shared" si="59"/>
        <v>Closed</v>
      </c>
      <c r="Q921" s="6">
        <v>5</v>
      </c>
      <c r="R921" s="7" t="s">
        <v>196</v>
      </c>
    </row>
    <row r="922" spans="1:18" x14ac:dyDescent="0.35">
      <c r="A922" s="6">
        <v>921</v>
      </c>
      <c r="B922" s="7" t="s">
        <v>1118</v>
      </c>
      <c r="C922" s="6">
        <v>13</v>
      </c>
      <c r="D922" s="6">
        <v>15</v>
      </c>
      <c r="E922" s="6">
        <v>9</v>
      </c>
      <c r="F922" s="6">
        <v>13</v>
      </c>
      <c r="G922" s="9">
        <v>45986.872141203698</v>
      </c>
      <c r="H922" s="9">
        <v>45987.622141203698</v>
      </c>
      <c r="I922" s="9">
        <v>45989.997141203698</v>
      </c>
      <c r="J922" s="9">
        <v>45990.017974536997</v>
      </c>
      <c r="K922" s="7" t="s">
        <v>195</v>
      </c>
      <c r="L922" s="10">
        <f t="shared" si="56"/>
        <v>18</v>
      </c>
      <c r="M922" s="10">
        <f t="shared" si="57"/>
        <v>57</v>
      </c>
      <c r="N922" s="10">
        <f t="shared" si="58"/>
        <v>75.499999999185093</v>
      </c>
      <c r="O922" s="7" t="str">
        <f>IF(ISBLANK(I922),"N/A",IF(((I922-H922)*24)&gt;INDEX(Dim_ServiceType!$E$2:$E$16,MATCH(E922,Dim_ServiceType!$A$2:$A$16,0)),"Yes","No"))</f>
        <v>No</v>
      </c>
      <c r="P922" s="7" t="str">
        <f t="shared" si="59"/>
        <v>Closed</v>
      </c>
      <c r="Q922" s="6">
        <v>5</v>
      </c>
      <c r="R922" s="7" t="s">
        <v>196</v>
      </c>
    </row>
    <row r="923" spans="1:18" x14ac:dyDescent="0.35">
      <c r="A923" s="6">
        <v>922</v>
      </c>
      <c r="B923" s="7" t="s">
        <v>1119</v>
      </c>
      <c r="C923" s="6">
        <v>7</v>
      </c>
      <c r="D923" s="6">
        <v>2</v>
      </c>
      <c r="E923" s="6">
        <v>5</v>
      </c>
      <c r="F923" s="6">
        <v>10</v>
      </c>
      <c r="G923" s="9">
        <v>45922.042916666702</v>
      </c>
      <c r="H923" s="9">
        <v>45922.084583333301</v>
      </c>
      <c r="I923" s="9">
        <v>45922.276250000003</v>
      </c>
      <c r="J923" s="9">
        <v>45923.276250000003</v>
      </c>
      <c r="K923" s="7" t="s">
        <v>198</v>
      </c>
      <c r="L923" s="10">
        <f t="shared" si="56"/>
        <v>0.99999999837018549</v>
      </c>
      <c r="M923" s="10">
        <f t="shared" si="57"/>
        <v>4.6000000008498318</v>
      </c>
      <c r="N923" s="10">
        <f t="shared" si="58"/>
        <v>29.599999999220017</v>
      </c>
      <c r="O923" s="7" t="str">
        <f>IF(ISBLANK(I923),"N/A",IF(((I923-H923)*24)&gt;INDEX(Dim_ServiceType!$E$2:$E$16,MATCH(E923,Dim_ServiceType!$A$2:$A$16,0)),"Yes","No"))</f>
        <v>No</v>
      </c>
      <c r="P923" s="7" t="str">
        <f t="shared" si="59"/>
        <v>Closed</v>
      </c>
      <c r="Q923" s="6">
        <v>5</v>
      </c>
      <c r="R923" s="7" t="s">
        <v>193</v>
      </c>
    </row>
    <row r="924" spans="1:18" x14ac:dyDescent="0.35">
      <c r="A924" s="6">
        <v>923</v>
      </c>
      <c r="B924" s="7" t="s">
        <v>1120</v>
      </c>
      <c r="C924" s="6">
        <v>6</v>
      </c>
      <c r="D924" s="6">
        <v>8</v>
      </c>
      <c r="E924" s="6">
        <v>10</v>
      </c>
      <c r="F924" s="6">
        <v>14</v>
      </c>
      <c r="G924" s="9">
        <v>45996.740949074097</v>
      </c>
      <c r="H924" s="9"/>
      <c r="I924" s="9"/>
      <c r="J924" s="9"/>
      <c r="K924" s="7" t="s">
        <v>192</v>
      </c>
      <c r="L924" s="10" t="str">
        <f t="shared" si="56"/>
        <v/>
      </c>
      <c r="M924" s="10" t="str">
        <f t="shared" si="57"/>
        <v/>
      </c>
      <c r="N924" s="10" t="str">
        <f t="shared" si="58"/>
        <v/>
      </c>
      <c r="O924" s="7" t="str">
        <f>IF(ISBLANK(I924),"N/A",IF(((I924-H924)*24)&gt;INDEX(Dim_ServiceType!$E$2:$E$16,MATCH(E924,Dim_ServiceType!$A$2:$A$16,0)),"Yes","No"))</f>
        <v>N/A</v>
      </c>
      <c r="P924" s="7" t="str">
        <f t="shared" si="59"/>
        <v>Open (Unassigned)</v>
      </c>
      <c r="Q924" s="6"/>
      <c r="R924" s="7"/>
    </row>
    <row r="925" spans="1:18" x14ac:dyDescent="0.35">
      <c r="A925" s="6">
        <v>924</v>
      </c>
      <c r="B925" s="7" t="s">
        <v>1121</v>
      </c>
      <c r="C925" s="6">
        <v>14</v>
      </c>
      <c r="D925" s="6">
        <v>5</v>
      </c>
      <c r="E925" s="6">
        <v>12</v>
      </c>
      <c r="F925" s="6">
        <v>13</v>
      </c>
      <c r="G925" s="9">
        <v>45864.051273148201</v>
      </c>
      <c r="H925" s="9">
        <v>45864.0929398148</v>
      </c>
      <c r="I925" s="9">
        <v>45865.188773148198</v>
      </c>
      <c r="J925" s="9">
        <v>45865.230439814797</v>
      </c>
      <c r="K925" s="7" t="s">
        <v>198</v>
      </c>
      <c r="L925" s="10">
        <f t="shared" si="56"/>
        <v>0.99999999837018549</v>
      </c>
      <c r="M925" s="10">
        <f t="shared" si="57"/>
        <v>26.300000001559965</v>
      </c>
      <c r="N925" s="10">
        <f t="shared" si="58"/>
        <v>28.299999998300336</v>
      </c>
      <c r="O925" s="7" t="str">
        <f>IF(ISBLANK(I925),"N/A",IF(((I925-H925)*24)&gt;INDEX(Dim_ServiceType!$E$2:$E$16,MATCH(E925,Dim_ServiceType!$A$2:$A$16,0)),"Yes","No"))</f>
        <v>Yes</v>
      </c>
      <c r="P925" s="7" t="str">
        <f t="shared" si="59"/>
        <v>Closed</v>
      </c>
      <c r="Q925" s="6">
        <v>4</v>
      </c>
      <c r="R925" s="7" t="s">
        <v>196</v>
      </c>
    </row>
    <row r="926" spans="1:18" x14ac:dyDescent="0.35">
      <c r="A926" s="6">
        <v>925</v>
      </c>
      <c r="B926" s="7" t="s">
        <v>1122</v>
      </c>
      <c r="C926" s="6">
        <v>4</v>
      </c>
      <c r="D926" s="6">
        <v>1</v>
      </c>
      <c r="E926" s="6">
        <v>15</v>
      </c>
      <c r="F926" s="6">
        <v>11</v>
      </c>
      <c r="G926" s="9">
        <v>45966.493483796301</v>
      </c>
      <c r="H926" s="9">
        <v>45966.618483796301</v>
      </c>
      <c r="I926" s="9">
        <v>45967.872650463003</v>
      </c>
      <c r="J926" s="9">
        <v>45967.893483796302</v>
      </c>
      <c r="K926" s="7" t="s">
        <v>198</v>
      </c>
      <c r="L926" s="10">
        <f t="shared" si="56"/>
        <v>3</v>
      </c>
      <c r="M926" s="10">
        <f t="shared" si="57"/>
        <v>30.100000000849832</v>
      </c>
      <c r="N926" s="10">
        <f t="shared" si="58"/>
        <v>33.600000000034925</v>
      </c>
      <c r="O926" s="7" t="str">
        <f>IF(ISBLANK(I926),"N/A",IF(((I926-H926)*24)&gt;INDEX(Dim_ServiceType!$E$2:$E$16,MATCH(E926,Dim_ServiceType!$A$2:$A$16,0)),"Yes","No"))</f>
        <v>Yes</v>
      </c>
      <c r="P926" s="7" t="str">
        <f t="shared" si="59"/>
        <v>Closed</v>
      </c>
      <c r="Q926" s="6">
        <v>5</v>
      </c>
      <c r="R926" s="7" t="s">
        <v>196</v>
      </c>
    </row>
    <row r="927" spans="1:18" x14ac:dyDescent="0.35">
      <c r="A927" s="6">
        <v>926</v>
      </c>
      <c r="B927" s="7" t="s">
        <v>1123</v>
      </c>
      <c r="C927" s="6">
        <v>6</v>
      </c>
      <c r="D927" s="6">
        <v>4</v>
      </c>
      <c r="E927" s="6">
        <v>13</v>
      </c>
      <c r="F927" s="6">
        <v>8</v>
      </c>
      <c r="G927" s="9">
        <v>45870.220254629603</v>
      </c>
      <c r="H927" s="9">
        <v>45870.345254629603</v>
      </c>
      <c r="I927" s="9">
        <v>45871.078587962998</v>
      </c>
      <c r="J927" s="9">
        <v>45871.578587962998</v>
      </c>
      <c r="K927" s="7" t="s">
        <v>192</v>
      </c>
      <c r="L927" s="10">
        <f t="shared" si="56"/>
        <v>3</v>
      </c>
      <c r="M927" s="10">
        <f t="shared" si="57"/>
        <v>17.600000001490116</v>
      </c>
      <c r="N927" s="10">
        <f t="shared" si="58"/>
        <v>32.600000001490116</v>
      </c>
      <c r="O927" s="7" t="str">
        <f>IF(ISBLANK(I927),"N/A",IF(((I927-H927)*24)&gt;INDEX(Dim_ServiceType!$E$2:$E$16,MATCH(E927,Dim_ServiceType!$A$2:$A$16,0)),"Yes","No"))</f>
        <v>No</v>
      </c>
      <c r="P927" s="7" t="str">
        <f t="shared" si="59"/>
        <v>Closed</v>
      </c>
      <c r="Q927" s="6">
        <v>3</v>
      </c>
      <c r="R927" s="7" t="s">
        <v>193</v>
      </c>
    </row>
    <row r="928" spans="1:18" x14ac:dyDescent="0.35">
      <c r="A928" s="6">
        <v>927</v>
      </c>
      <c r="B928" s="7" t="s">
        <v>1124</v>
      </c>
      <c r="C928" s="6">
        <v>13</v>
      </c>
      <c r="D928" s="6">
        <v>10</v>
      </c>
      <c r="E928" s="6">
        <v>3</v>
      </c>
      <c r="F928" s="6">
        <v>15</v>
      </c>
      <c r="G928" s="9">
        <v>45837.267314814802</v>
      </c>
      <c r="H928" s="9">
        <v>45837.308981481503</v>
      </c>
      <c r="I928" s="9">
        <v>45839.0714814815</v>
      </c>
      <c r="J928" s="9">
        <v>45839.154814814799</v>
      </c>
      <c r="K928" s="7" t="s">
        <v>192</v>
      </c>
      <c r="L928" s="10">
        <f t="shared" si="56"/>
        <v>1.0000000008149073</v>
      </c>
      <c r="M928" s="10">
        <f t="shared" si="57"/>
        <v>42.299999999930151</v>
      </c>
      <c r="N928" s="10">
        <f t="shared" si="58"/>
        <v>45.299999999930151</v>
      </c>
      <c r="O928" s="7" t="str">
        <f>IF(ISBLANK(I928),"N/A",IF(((I928-H928)*24)&gt;INDEX(Dim_ServiceType!$E$2:$E$16,MATCH(E928,Dim_ServiceType!$A$2:$A$16,0)),"Yes","No"))</f>
        <v>Yes</v>
      </c>
      <c r="P928" s="7" t="str">
        <f t="shared" si="59"/>
        <v>Closed</v>
      </c>
      <c r="Q928" s="6">
        <v>2</v>
      </c>
      <c r="R928" s="7" t="s">
        <v>196</v>
      </c>
    </row>
    <row r="929" spans="1:18" x14ac:dyDescent="0.35">
      <c r="A929" s="6">
        <v>928</v>
      </c>
      <c r="B929" s="7" t="s">
        <v>1125</v>
      </c>
      <c r="C929" s="6">
        <v>6</v>
      </c>
      <c r="D929" s="6">
        <v>6</v>
      </c>
      <c r="E929" s="6">
        <v>4</v>
      </c>
      <c r="F929" s="6">
        <v>3</v>
      </c>
      <c r="G929" s="9">
        <v>45895.140925925902</v>
      </c>
      <c r="H929" s="9">
        <v>45895.390925925902</v>
      </c>
      <c r="I929" s="9">
        <v>45897.245092592602</v>
      </c>
      <c r="J929" s="9">
        <v>45897.745092592602</v>
      </c>
      <c r="K929" s="7" t="s">
        <v>200</v>
      </c>
      <c r="L929" s="10">
        <f t="shared" si="56"/>
        <v>6</v>
      </c>
      <c r="M929" s="10">
        <f t="shared" si="57"/>
        <v>44.500000000814907</v>
      </c>
      <c r="N929" s="10">
        <f t="shared" si="58"/>
        <v>62.500000000814907</v>
      </c>
      <c r="O929" s="7" t="str">
        <f>IF(ISBLANK(I929),"N/A",IF(((I929-H929)*24)&gt;INDEX(Dim_ServiceType!$E$2:$E$16,MATCH(E929,Dim_ServiceType!$A$2:$A$16,0)),"Yes","No"))</f>
        <v>Yes</v>
      </c>
      <c r="P929" s="7" t="str">
        <f t="shared" si="59"/>
        <v>Closed</v>
      </c>
      <c r="Q929" s="6">
        <v>4</v>
      </c>
      <c r="R929" s="7" t="s">
        <v>196</v>
      </c>
    </row>
    <row r="930" spans="1:18" x14ac:dyDescent="0.35">
      <c r="A930" s="6">
        <v>929</v>
      </c>
      <c r="B930" s="7" t="s">
        <v>1126</v>
      </c>
      <c r="C930" s="6">
        <v>10</v>
      </c>
      <c r="D930" s="6">
        <v>8</v>
      </c>
      <c r="E930" s="6">
        <v>2</v>
      </c>
      <c r="F930" s="6">
        <v>8</v>
      </c>
      <c r="G930" s="9">
        <v>45941.850972222201</v>
      </c>
      <c r="H930" s="9">
        <v>45942.850972222201</v>
      </c>
      <c r="I930" s="9"/>
      <c r="J930" s="9"/>
      <c r="K930" s="7" t="s">
        <v>200</v>
      </c>
      <c r="L930" s="10">
        <f t="shared" si="56"/>
        <v>24</v>
      </c>
      <c r="M930" s="10" t="str">
        <f t="shared" si="57"/>
        <v/>
      </c>
      <c r="N930" s="10" t="str">
        <f t="shared" si="58"/>
        <v/>
      </c>
      <c r="O930" s="7" t="str">
        <f>IF(ISBLANK(I930),"N/A",IF(((I930-H930)*24)&gt;INDEX(Dim_ServiceType!$E$2:$E$16,MATCH(E930,Dim_ServiceType!$A$2:$A$16,0)),"Yes","No"))</f>
        <v>N/A</v>
      </c>
      <c r="P930" s="7" t="str">
        <f t="shared" si="59"/>
        <v>In Progress</v>
      </c>
      <c r="Q930" s="6"/>
      <c r="R930" s="7"/>
    </row>
    <row r="931" spans="1:18" x14ac:dyDescent="0.35">
      <c r="A931" s="6">
        <v>930</v>
      </c>
      <c r="B931" s="7" t="s">
        <v>1127</v>
      </c>
      <c r="C931" s="6">
        <v>14</v>
      </c>
      <c r="D931" s="6">
        <v>7</v>
      </c>
      <c r="E931" s="6">
        <v>8</v>
      </c>
      <c r="F931" s="6">
        <v>2</v>
      </c>
      <c r="G931" s="9">
        <v>45989.873958333301</v>
      </c>
      <c r="H931" s="9">
        <v>45990.207291666702</v>
      </c>
      <c r="I931" s="9">
        <v>45990.365624999999</v>
      </c>
      <c r="J931" s="9">
        <v>45990.615624999999</v>
      </c>
      <c r="K931" s="7" t="s">
        <v>192</v>
      </c>
      <c r="L931" s="10">
        <f t="shared" si="56"/>
        <v>8.0000000016298145</v>
      </c>
      <c r="M931" s="10">
        <f t="shared" si="57"/>
        <v>3.7999999991152436</v>
      </c>
      <c r="N931" s="10">
        <f t="shared" si="58"/>
        <v>17.800000000745058</v>
      </c>
      <c r="O931" s="7" t="str">
        <f>IF(ISBLANK(I931),"N/A",IF(((I931-H931)*24)&gt;INDEX(Dim_ServiceType!$E$2:$E$16,MATCH(E931,Dim_ServiceType!$A$2:$A$16,0)),"Yes","No"))</f>
        <v>No</v>
      </c>
      <c r="P931" s="7" t="str">
        <f t="shared" si="59"/>
        <v>Closed</v>
      </c>
      <c r="Q931" s="6">
        <v>3</v>
      </c>
      <c r="R931" s="7" t="s">
        <v>196</v>
      </c>
    </row>
    <row r="932" spans="1:18" x14ac:dyDescent="0.35">
      <c r="A932" s="6">
        <v>931</v>
      </c>
      <c r="B932" s="7" t="s">
        <v>1128</v>
      </c>
      <c r="C932" s="6">
        <v>6</v>
      </c>
      <c r="D932" s="6">
        <v>5</v>
      </c>
      <c r="E932" s="6">
        <v>8</v>
      </c>
      <c r="F932" s="6">
        <v>3</v>
      </c>
      <c r="G932" s="9">
        <v>45830.085682870398</v>
      </c>
      <c r="H932" s="9">
        <v>45830.210682870398</v>
      </c>
      <c r="I932" s="9">
        <v>45830.339849536998</v>
      </c>
      <c r="J932" s="9">
        <v>45830.4231828704</v>
      </c>
      <c r="K932" s="7" t="s">
        <v>192</v>
      </c>
      <c r="L932" s="10">
        <f t="shared" si="56"/>
        <v>3</v>
      </c>
      <c r="M932" s="10">
        <f t="shared" si="57"/>
        <v>3.0999999984051101</v>
      </c>
      <c r="N932" s="10">
        <f t="shared" si="58"/>
        <v>8.1000000000349246</v>
      </c>
      <c r="O932" s="7" t="str">
        <f>IF(ISBLANK(I932),"N/A",IF(((I932-H932)*24)&gt;INDEX(Dim_ServiceType!$E$2:$E$16,MATCH(E932,Dim_ServiceType!$A$2:$A$16,0)),"Yes","No"))</f>
        <v>No</v>
      </c>
      <c r="P932" s="7" t="str">
        <f t="shared" si="59"/>
        <v>Closed</v>
      </c>
      <c r="Q932" s="6">
        <v>3</v>
      </c>
      <c r="R932" s="7" t="s">
        <v>196</v>
      </c>
    </row>
    <row r="933" spans="1:18" x14ac:dyDescent="0.35">
      <c r="A933" s="6">
        <v>932</v>
      </c>
      <c r="B933" s="7" t="s">
        <v>1129</v>
      </c>
      <c r="C933" s="6">
        <v>10</v>
      </c>
      <c r="D933" s="6">
        <v>14</v>
      </c>
      <c r="E933" s="6">
        <v>13</v>
      </c>
      <c r="F933" s="6">
        <v>13</v>
      </c>
      <c r="G933" s="9">
        <v>45978.480486111097</v>
      </c>
      <c r="H933" s="9">
        <v>45978.980486111097</v>
      </c>
      <c r="I933" s="9">
        <v>45979.372152777803</v>
      </c>
      <c r="J933" s="9">
        <v>45979.392986111103</v>
      </c>
      <c r="K933" s="7" t="s">
        <v>195</v>
      </c>
      <c r="L933" s="10">
        <f t="shared" si="56"/>
        <v>12</v>
      </c>
      <c r="M933" s="10">
        <f t="shared" si="57"/>
        <v>9.4000000009546056</v>
      </c>
      <c r="N933" s="10">
        <f t="shared" si="58"/>
        <v>21.900000000139698</v>
      </c>
      <c r="O933" s="7" t="str">
        <f>IF(ISBLANK(I933),"N/A",IF(((I933-H933)*24)&gt;INDEX(Dim_ServiceType!$E$2:$E$16,MATCH(E933,Dim_ServiceType!$A$2:$A$16,0)),"Yes","No"))</f>
        <v>No</v>
      </c>
      <c r="P933" s="7" t="str">
        <f t="shared" si="59"/>
        <v>Closed</v>
      </c>
      <c r="Q933" s="6">
        <v>2</v>
      </c>
      <c r="R933" s="7" t="s">
        <v>196</v>
      </c>
    </row>
    <row r="934" spans="1:18" x14ac:dyDescent="0.35">
      <c r="A934" s="6">
        <v>933</v>
      </c>
      <c r="B934" s="7" t="s">
        <v>1130</v>
      </c>
      <c r="C934" s="6">
        <v>5</v>
      </c>
      <c r="D934" s="6">
        <v>5</v>
      </c>
      <c r="E934" s="6">
        <v>13</v>
      </c>
      <c r="F934" s="6">
        <v>5</v>
      </c>
      <c r="G934" s="9">
        <v>45957.592465277798</v>
      </c>
      <c r="H934" s="9">
        <v>45957.675798611097</v>
      </c>
      <c r="I934" s="9">
        <v>45958.109131944497</v>
      </c>
      <c r="J934" s="9">
        <v>45959.109131944497</v>
      </c>
      <c r="K934" s="7" t="s">
        <v>192</v>
      </c>
      <c r="L934" s="10">
        <f t="shared" si="56"/>
        <v>1.9999999991850927</v>
      </c>
      <c r="M934" s="10">
        <f t="shared" si="57"/>
        <v>10.40000000159489</v>
      </c>
      <c r="N934" s="10">
        <f t="shared" si="58"/>
        <v>36.400000000779983</v>
      </c>
      <c r="O934" s="7" t="str">
        <f>IF(ISBLANK(I934),"N/A",IF(((I934-H934)*24)&gt;INDEX(Dim_ServiceType!$E$2:$E$16,MATCH(E934,Dim_ServiceType!$A$2:$A$16,0)),"Yes","No"))</f>
        <v>No</v>
      </c>
      <c r="P934" s="7" t="str">
        <f t="shared" si="59"/>
        <v>Closed</v>
      </c>
      <c r="Q934" s="6">
        <v>5</v>
      </c>
      <c r="R934" s="7" t="s">
        <v>193</v>
      </c>
    </row>
    <row r="935" spans="1:18" x14ac:dyDescent="0.35">
      <c r="A935" s="6">
        <v>934</v>
      </c>
      <c r="B935" s="7" t="s">
        <v>1131</v>
      </c>
      <c r="C935" s="6">
        <v>15</v>
      </c>
      <c r="D935" s="6">
        <v>12</v>
      </c>
      <c r="E935" s="6">
        <v>2</v>
      </c>
      <c r="F935" s="6">
        <v>11</v>
      </c>
      <c r="G935" s="9">
        <v>45861.052210648202</v>
      </c>
      <c r="H935" s="9">
        <v>45861.177210648202</v>
      </c>
      <c r="I935" s="9">
        <v>45861.427210648202</v>
      </c>
      <c r="J935" s="9">
        <v>45861.593877314801</v>
      </c>
      <c r="K935" s="7" t="s">
        <v>192</v>
      </c>
      <c r="L935" s="10">
        <f t="shared" si="56"/>
        <v>3</v>
      </c>
      <c r="M935" s="10">
        <f t="shared" si="57"/>
        <v>6</v>
      </c>
      <c r="N935" s="10">
        <f t="shared" si="58"/>
        <v>12.999999998370185</v>
      </c>
      <c r="O935" s="7" t="str">
        <f>IF(ISBLANK(I935),"N/A",IF(((I935-H935)*24)&gt;INDEX(Dim_ServiceType!$E$2:$E$16,MATCH(E935,Dim_ServiceType!$A$2:$A$16,0)),"Yes","No"))</f>
        <v>No</v>
      </c>
      <c r="P935" s="7" t="str">
        <f t="shared" si="59"/>
        <v>Closed</v>
      </c>
      <c r="Q935" s="6">
        <v>4</v>
      </c>
      <c r="R935" s="7" t="s">
        <v>196</v>
      </c>
    </row>
    <row r="936" spans="1:18" x14ac:dyDescent="0.35">
      <c r="A936" s="6">
        <v>935</v>
      </c>
      <c r="B936" s="7" t="s">
        <v>1132</v>
      </c>
      <c r="C936" s="6">
        <v>7</v>
      </c>
      <c r="D936" s="6">
        <v>8</v>
      </c>
      <c r="E936" s="6">
        <v>12</v>
      </c>
      <c r="F936" s="6">
        <v>11</v>
      </c>
      <c r="G936" s="9">
        <v>45990.434525463003</v>
      </c>
      <c r="H936" s="9">
        <v>45991.434525463003</v>
      </c>
      <c r="I936" s="9">
        <v>45992.272025462997</v>
      </c>
      <c r="J936" s="9">
        <v>45992.522025462997</v>
      </c>
      <c r="K936" s="7" t="s">
        <v>207</v>
      </c>
      <c r="L936" s="10">
        <f t="shared" si="56"/>
        <v>24</v>
      </c>
      <c r="M936" s="10">
        <f t="shared" si="57"/>
        <v>20.099999999860302</v>
      </c>
      <c r="N936" s="10">
        <f t="shared" si="58"/>
        <v>50.099999999860302</v>
      </c>
      <c r="O936" s="7" t="str">
        <f>IF(ISBLANK(I936),"N/A",IF(((I936-H936)*24)&gt;INDEX(Dim_ServiceType!$E$2:$E$16,MATCH(E936,Dim_ServiceType!$A$2:$A$16,0)),"Yes","No"))</f>
        <v>No</v>
      </c>
      <c r="P936" s="7" t="str">
        <f t="shared" si="59"/>
        <v>Closed</v>
      </c>
      <c r="Q936" s="6">
        <v>5</v>
      </c>
      <c r="R936" s="7" t="s">
        <v>196</v>
      </c>
    </row>
    <row r="937" spans="1:18" x14ac:dyDescent="0.35">
      <c r="A937" s="6">
        <v>936</v>
      </c>
      <c r="B937" s="7" t="s">
        <v>1133</v>
      </c>
      <c r="C937" s="6">
        <v>9</v>
      </c>
      <c r="D937" s="6">
        <v>10</v>
      </c>
      <c r="E937" s="6">
        <v>13</v>
      </c>
      <c r="F937" s="6">
        <v>3</v>
      </c>
      <c r="G937" s="9">
        <v>45810.826527777797</v>
      </c>
      <c r="H937" s="9">
        <v>45810.951527777797</v>
      </c>
      <c r="I937" s="9"/>
      <c r="J937" s="9"/>
      <c r="K937" s="7" t="s">
        <v>200</v>
      </c>
      <c r="L937" s="10">
        <f t="shared" si="56"/>
        <v>3</v>
      </c>
      <c r="M937" s="10" t="str">
        <f t="shared" si="57"/>
        <v/>
      </c>
      <c r="N937" s="10" t="str">
        <f t="shared" si="58"/>
        <v/>
      </c>
      <c r="O937" s="7" t="str">
        <f>IF(ISBLANK(I937),"N/A",IF(((I937-H937)*24)&gt;INDEX(Dim_ServiceType!$E$2:$E$16,MATCH(E937,Dim_ServiceType!$A$2:$A$16,0)),"Yes","No"))</f>
        <v>N/A</v>
      </c>
      <c r="P937" s="7" t="str">
        <f t="shared" si="59"/>
        <v>In Progress</v>
      </c>
      <c r="Q937" s="6"/>
      <c r="R937" s="7"/>
    </row>
    <row r="938" spans="1:18" x14ac:dyDescent="0.35">
      <c r="A938" s="6">
        <v>937</v>
      </c>
      <c r="B938" s="7" t="s">
        <v>1134</v>
      </c>
      <c r="C938" s="6">
        <v>2</v>
      </c>
      <c r="D938" s="6">
        <v>14</v>
      </c>
      <c r="E938" s="6">
        <v>11</v>
      </c>
      <c r="F938" s="6">
        <v>9</v>
      </c>
      <c r="G938" s="9">
        <v>45931.275775463</v>
      </c>
      <c r="H938" s="9">
        <v>45931.2966087963</v>
      </c>
      <c r="I938" s="9">
        <v>45931.659108796302</v>
      </c>
      <c r="J938" s="9">
        <v>45931.825775463003</v>
      </c>
      <c r="K938" s="7" t="s">
        <v>192</v>
      </c>
      <c r="L938" s="10">
        <f t="shared" si="56"/>
        <v>0.49999999918509275</v>
      </c>
      <c r="M938" s="10">
        <f t="shared" si="57"/>
        <v>8.7000000000698492</v>
      </c>
      <c r="N938" s="10">
        <f t="shared" si="58"/>
        <v>13.200000000069849</v>
      </c>
      <c r="O938" s="7" t="str">
        <f>IF(ISBLANK(I938),"N/A",IF(((I938-H938)*24)&gt;INDEX(Dim_ServiceType!$E$2:$E$16,MATCH(E938,Dim_ServiceType!$A$2:$A$16,0)),"Yes","No"))</f>
        <v>No</v>
      </c>
      <c r="P938" s="7" t="str">
        <f t="shared" si="59"/>
        <v>Closed</v>
      </c>
      <c r="Q938" s="6">
        <v>3</v>
      </c>
      <c r="R938" s="7" t="s">
        <v>196</v>
      </c>
    </row>
    <row r="939" spans="1:18" x14ac:dyDescent="0.35">
      <c r="A939" s="6">
        <v>938</v>
      </c>
      <c r="B939" s="7" t="s">
        <v>1135</v>
      </c>
      <c r="C939" s="6">
        <v>4</v>
      </c>
      <c r="D939" s="6">
        <v>7</v>
      </c>
      <c r="E939" s="6">
        <v>14</v>
      </c>
      <c r="F939" s="6">
        <v>12</v>
      </c>
      <c r="G939" s="9">
        <v>45887.483310185198</v>
      </c>
      <c r="H939" s="9">
        <v>45887.566643518498</v>
      </c>
      <c r="I939" s="9">
        <v>45889.087476851899</v>
      </c>
      <c r="J939" s="9">
        <v>45889.337476851899</v>
      </c>
      <c r="K939" s="7" t="s">
        <v>198</v>
      </c>
      <c r="L939" s="10">
        <f t="shared" si="56"/>
        <v>1.9999999991850927</v>
      </c>
      <c r="M939" s="10">
        <f t="shared" si="57"/>
        <v>36.500000001629815</v>
      </c>
      <c r="N939" s="10">
        <f t="shared" si="58"/>
        <v>44.500000000814907</v>
      </c>
      <c r="O939" s="7" t="str">
        <f>IF(ISBLANK(I939),"N/A",IF(((I939-H939)*24)&gt;INDEX(Dim_ServiceType!$E$2:$E$16,MATCH(E939,Dim_ServiceType!$A$2:$A$16,0)),"Yes","No"))</f>
        <v>Yes</v>
      </c>
      <c r="P939" s="7" t="str">
        <f t="shared" si="59"/>
        <v>Closed</v>
      </c>
      <c r="Q939" s="6">
        <v>5</v>
      </c>
      <c r="R939" s="7" t="s">
        <v>196</v>
      </c>
    </row>
    <row r="940" spans="1:18" x14ac:dyDescent="0.35">
      <c r="A940" s="6">
        <v>939</v>
      </c>
      <c r="B940" s="7" t="s">
        <v>1136</v>
      </c>
      <c r="C940" s="6">
        <v>3</v>
      </c>
      <c r="D940" s="6">
        <v>1</v>
      </c>
      <c r="E940" s="6">
        <v>9</v>
      </c>
      <c r="F940" s="6">
        <v>13</v>
      </c>
      <c r="G940" s="9">
        <v>45836.884016203701</v>
      </c>
      <c r="H940" s="9">
        <v>45837.009016203701</v>
      </c>
      <c r="I940" s="9">
        <v>45840.4215162037</v>
      </c>
      <c r="J940" s="9">
        <v>45840.504849536999</v>
      </c>
      <c r="K940" s="7" t="s">
        <v>200</v>
      </c>
      <c r="L940" s="10">
        <f t="shared" si="56"/>
        <v>3</v>
      </c>
      <c r="M940" s="10">
        <f t="shared" si="57"/>
        <v>81.899999999965075</v>
      </c>
      <c r="N940" s="10">
        <f t="shared" si="58"/>
        <v>86.899999999150168</v>
      </c>
      <c r="O940" s="7" t="str">
        <f>IF(ISBLANK(I940),"N/A",IF(((I940-H940)*24)&gt;INDEX(Dim_ServiceType!$E$2:$E$16,MATCH(E940,Dim_ServiceType!$A$2:$A$16,0)),"Yes","No"))</f>
        <v>Yes</v>
      </c>
      <c r="P940" s="7" t="str">
        <f t="shared" si="59"/>
        <v>Closed</v>
      </c>
      <c r="Q940" s="6">
        <v>5</v>
      </c>
      <c r="R940" s="7" t="s">
        <v>196</v>
      </c>
    </row>
    <row r="941" spans="1:18" x14ac:dyDescent="0.35">
      <c r="A941" s="6">
        <v>940</v>
      </c>
      <c r="B941" s="7" t="s">
        <v>1137</v>
      </c>
      <c r="C941" s="6">
        <v>7</v>
      </c>
      <c r="D941" s="6">
        <v>11</v>
      </c>
      <c r="E941" s="6">
        <v>8</v>
      </c>
      <c r="F941" s="6">
        <v>7</v>
      </c>
      <c r="G941" s="9">
        <v>45982.9054861111</v>
      </c>
      <c r="H941" s="9">
        <v>45983.238819444399</v>
      </c>
      <c r="I941" s="9">
        <v>45983.438819444498</v>
      </c>
      <c r="J941" s="9">
        <v>45983.688819444498</v>
      </c>
      <c r="K941" s="7" t="s">
        <v>200</v>
      </c>
      <c r="L941" s="10">
        <f t="shared" si="56"/>
        <v>7.9999999991850927</v>
      </c>
      <c r="M941" s="10">
        <f t="shared" si="57"/>
        <v>4.8000000023748726</v>
      </c>
      <c r="N941" s="10">
        <f t="shared" si="58"/>
        <v>18.800000001559965</v>
      </c>
      <c r="O941" s="7" t="str">
        <f>IF(ISBLANK(I941),"N/A",IF(((I941-H941)*24)&gt;INDEX(Dim_ServiceType!$E$2:$E$16,MATCH(E941,Dim_ServiceType!$A$2:$A$16,0)),"Yes","No"))</f>
        <v>No</v>
      </c>
      <c r="P941" s="7" t="str">
        <f t="shared" si="59"/>
        <v>Closed</v>
      </c>
      <c r="Q941" s="6">
        <v>4</v>
      </c>
      <c r="R941" s="7" t="s">
        <v>196</v>
      </c>
    </row>
    <row r="942" spans="1:18" x14ac:dyDescent="0.35">
      <c r="A942" s="6">
        <v>941</v>
      </c>
      <c r="B942" s="7" t="s">
        <v>1138</v>
      </c>
      <c r="C942" s="6">
        <v>2</v>
      </c>
      <c r="D942" s="6">
        <v>15</v>
      </c>
      <c r="E942" s="6">
        <v>13</v>
      </c>
      <c r="F942" s="6">
        <v>12</v>
      </c>
      <c r="G942" s="9">
        <v>45839.889236111099</v>
      </c>
      <c r="H942" s="9">
        <v>45839.972569444399</v>
      </c>
      <c r="I942" s="9"/>
      <c r="J942" s="9"/>
      <c r="K942" s="7" t="s">
        <v>198</v>
      </c>
      <c r="L942" s="10">
        <f t="shared" si="56"/>
        <v>1.9999999991850927</v>
      </c>
      <c r="M942" s="10" t="str">
        <f t="shared" si="57"/>
        <v/>
      </c>
      <c r="N942" s="10" t="str">
        <f t="shared" si="58"/>
        <v/>
      </c>
      <c r="O942" s="7" t="str">
        <f>IF(ISBLANK(I942),"N/A",IF(((I942-H942)*24)&gt;INDEX(Dim_ServiceType!$E$2:$E$16,MATCH(E942,Dim_ServiceType!$A$2:$A$16,0)),"Yes","No"))</f>
        <v>N/A</v>
      </c>
      <c r="P942" s="7" t="str">
        <f t="shared" si="59"/>
        <v>In Progress</v>
      </c>
      <c r="Q942" s="6"/>
      <c r="R942" s="7"/>
    </row>
    <row r="943" spans="1:18" x14ac:dyDescent="0.35">
      <c r="A943" s="6">
        <v>942</v>
      </c>
      <c r="B943" s="7" t="s">
        <v>1139</v>
      </c>
      <c r="C943" s="6">
        <v>3</v>
      </c>
      <c r="D943" s="6">
        <v>11</v>
      </c>
      <c r="E943" s="6">
        <v>15</v>
      </c>
      <c r="F943" s="6">
        <v>10</v>
      </c>
      <c r="G943" s="9">
        <v>45837.8494444444</v>
      </c>
      <c r="H943" s="9">
        <v>45838.3494444444</v>
      </c>
      <c r="I943" s="9">
        <v>45838.670277777797</v>
      </c>
      <c r="J943" s="9">
        <v>45839.170277777797</v>
      </c>
      <c r="K943" s="7" t="s">
        <v>198</v>
      </c>
      <c r="L943" s="10">
        <f t="shared" si="56"/>
        <v>12</v>
      </c>
      <c r="M943" s="10">
        <f t="shared" si="57"/>
        <v>7.7000000015250407</v>
      </c>
      <c r="N943" s="10">
        <f t="shared" si="58"/>
        <v>31.700000001525041</v>
      </c>
      <c r="O943" s="7" t="str">
        <f>IF(ISBLANK(I943),"N/A",IF(((I943-H943)*24)&gt;INDEX(Dim_ServiceType!$E$2:$E$16,MATCH(E943,Dim_ServiceType!$A$2:$A$16,0)),"Yes","No"))</f>
        <v>No</v>
      </c>
      <c r="P943" s="7" t="str">
        <f t="shared" si="59"/>
        <v>Closed</v>
      </c>
      <c r="Q943" s="6">
        <v>4</v>
      </c>
      <c r="R943" s="7" t="s">
        <v>196</v>
      </c>
    </row>
    <row r="944" spans="1:18" x14ac:dyDescent="0.35">
      <c r="A944" s="6">
        <v>943</v>
      </c>
      <c r="B944" s="7" t="s">
        <v>1140</v>
      </c>
      <c r="C944" s="6">
        <v>15</v>
      </c>
      <c r="D944" s="6">
        <v>13</v>
      </c>
      <c r="E944" s="6">
        <v>10</v>
      </c>
      <c r="F944" s="6">
        <v>7</v>
      </c>
      <c r="G944" s="9">
        <v>45659.032534722202</v>
      </c>
      <c r="H944" s="9">
        <v>45659.532534722202</v>
      </c>
      <c r="I944" s="9">
        <v>45659.932534722197</v>
      </c>
      <c r="J944" s="9">
        <v>45660.015868055598</v>
      </c>
      <c r="K944" s="7" t="s">
        <v>200</v>
      </c>
      <c r="L944" s="10">
        <f t="shared" si="56"/>
        <v>12</v>
      </c>
      <c r="M944" s="10">
        <f t="shared" si="57"/>
        <v>9.5999999998603016</v>
      </c>
      <c r="N944" s="10">
        <f t="shared" si="58"/>
        <v>23.600000001490116</v>
      </c>
      <c r="O944" s="7" t="str">
        <f>IF(ISBLANK(I944),"N/A",IF(((I944-H944)*24)&gt;INDEX(Dim_ServiceType!$E$2:$E$16,MATCH(E944,Dim_ServiceType!$A$2:$A$16,0)),"Yes","No"))</f>
        <v>Yes</v>
      </c>
      <c r="P944" s="7" t="str">
        <f t="shared" si="59"/>
        <v>Closed</v>
      </c>
      <c r="Q944" s="6">
        <v>4</v>
      </c>
      <c r="R944" s="7" t="s">
        <v>196</v>
      </c>
    </row>
    <row r="945" spans="1:18" x14ac:dyDescent="0.35">
      <c r="A945" s="6">
        <v>944</v>
      </c>
      <c r="B945" s="7" t="s">
        <v>1141</v>
      </c>
      <c r="C945" s="6">
        <v>10</v>
      </c>
      <c r="D945" s="6">
        <v>7</v>
      </c>
      <c r="E945" s="6">
        <v>5</v>
      </c>
      <c r="F945" s="6">
        <v>6</v>
      </c>
      <c r="G945" s="9">
        <v>45947.582303240699</v>
      </c>
      <c r="H945" s="9">
        <v>45947.707303240699</v>
      </c>
      <c r="I945" s="9">
        <v>45948.328136574099</v>
      </c>
      <c r="J945" s="9">
        <v>45948.494803240697</v>
      </c>
      <c r="K945" s="7" t="s">
        <v>195</v>
      </c>
      <c r="L945" s="10">
        <f t="shared" si="56"/>
        <v>3</v>
      </c>
      <c r="M945" s="10">
        <f t="shared" si="57"/>
        <v>14.90000000159489</v>
      </c>
      <c r="N945" s="10">
        <f t="shared" si="58"/>
        <v>21.899999999965075</v>
      </c>
      <c r="O945" s="7" t="str">
        <f>IF(ISBLANK(I945),"N/A",IF(((I945-H945)*24)&gt;INDEX(Dim_ServiceType!$E$2:$E$16,MATCH(E945,Dim_ServiceType!$A$2:$A$16,0)),"Yes","No"))</f>
        <v>Yes</v>
      </c>
      <c r="P945" s="7" t="str">
        <f t="shared" si="59"/>
        <v>Closed</v>
      </c>
      <c r="Q945" s="6">
        <v>3</v>
      </c>
      <c r="R945" s="7" t="s">
        <v>196</v>
      </c>
    </row>
    <row r="946" spans="1:18" x14ac:dyDescent="0.35">
      <c r="A946" s="6">
        <v>945</v>
      </c>
      <c r="B946" s="7" t="s">
        <v>1142</v>
      </c>
      <c r="C946" s="6">
        <v>9</v>
      </c>
      <c r="D946" s="6">
        <v>11</v>
      </c>
      <c r="E946" s="6">
        <v>8</v>
      </c>
      <c r="F946" s="6">
        <v>8</v>
      </c>
      <c r="G946" s="9">
        <v>45768.363171296303</v>
      </c>
      <c r="H946" s="9">
        <v>45769.363171296303</v>
      </c>
      <c r="I946" s="9">
        <v>45769.650671296302</v>
      </c>
      <c r="J946" s="9">
        <v>45769.900671296302</v>
      </c>
      <c r="K946" s="7" t="s">
        <v>192</v>
      </c>
      <c r="L946" s="10">
        <f t="shared" si="56"/>
        <v>24</v>
      </c>
      <c r="M946" s="10">
        <f t="shared" si="57"/>
        <v>6.8999999999650754</v>
      </c>
      <c r="N946" s="10">
        <f t="shared" si="58"/>
        <v>36.899999999965075</v>
      </c>
      <c r="O946" s="7" t="str">
        <f>IF(ISBLANK(I946),"N/A",IF(((I946-H946)*24)&gt;INDEX(Dim_ServiceType!$E$2:$E$16,MATCH(E946,Dim_ServiceType!$A$2:$A$16,0)),"Yes","No"))</f>
        <v>Yes</v>
      </c>
      <c r="P946" s="7" t="str">
        <f t="shared" si="59"/>
        <v>Closed</v>
      </c>
      <c r="Q946" s="6">
        <v>4</v>
      </c>
      <c r="R946" s="7" t="s">
        <v>196</v>
      </c>
    </row>
    <row r="947" spans="1:18" x14ac:dyDescent="0.35">
      <c r="A947" s="6">
        <v>946</v>
      </c>
      <c r="B947" s="7" t="s">
        <v>1143</v>
      </c>
      <c r="C947" s="6">
        <v>12</v>
      </c>
      <c r="D947" s="6">
        <v>10</v>
      </c>
      <c r="E947" s="6">
        <v>7</v>
      </c>
      <c r="F947" s="6">
        <v>13</v>
      </c>
      <c r="G947" s="9">
        <v>45713.147094907399</v>
      </c>
      <c r="H947" s="9">
        <v>45714.147094907399</v>
      </c>
      <c r="I947" s="9">
        <v>45714.834594907399</v>
      </c>
      <c r="J947" s="9">
        <v>45715.084594907399</v>
      </c>
      <c r="K947" s="7" t="s">
        <v>207</v>
      </c>
      <c r="L947" s="10">
        <f t="shared" si="56"/>
        <v>24</v>
      </c>
      <c r="M947" s="10">
        <f t="shared" si="57"/>
        <v>16.5</v>
      </c>
      <c r="N947" s="10">
        <f t="shared" si="58"/>
        <v>46.5</v>
      </c>
      <c r="O947" s="7" t="str">
        <f>IF(ISBLANK(I947),"N/A",IF(((I947-H947)*24)&gt;INDEX(Dim_ServiceType!$E$2:$E$16,MATCH(E947,Dim_ServiceType!$A$2:$A$16,0)),"Yes","No"))</f>
        <v>No</v>
      </c>
      <c r="P947" s="7" t="str">
        <f t="shared" si="59"/>
        <v>Closed</v>
      </c>
      <c r="Q947" s="6">
        <v>5</v>
      </c>
      <c r="R947" s="7" t="s">
        <v>196</v>
      </c>
    </row>
    <row r="948" spans="1:18" x14ac:dyDescent="0.35">
      <c r="A948" s="6">
        <v>947</v>
      </c>
      <c r="B948" s="7" t="s">
        <v>1144</v>
      </c>
      <c r="C948" s="6">
        <v>7</v>
      </c>
      <c r="D948" s="6">
        <v>9</v>
      </c>
      <c r="E948" s="6">
        <v>13</v>
      </c>
      <c r="F948" s="6">
        <v>13</v>
      </c>
      <c r="G948" s="9">
        <v>45792.668738425898</v>
      </c>
      <c r="H948" s="9">
        <v>45792.710405092599</v>
      </c>
      <c r="I948" s="9">
        <v>45793.985405092601</v>
      </c>
      <c r="J948" s="9">
        <v>45794.0687384259</v>
      </c>
      <c r="K948" s="7" t="s">
        <v>192</v>
      </c>
      <c r="L948" s="10">
        <f t="shared" si="56"/>
        <v>1.0000000008149073</v>
      </c>
      <c r="M948" s="10">
        <f t="shared" si="57"/>
        <v>30.600000000034925</v>
      </c>
      <c r="N948" s="10">
        <f t="shared" si="58"/>
        <v>33.600000000034925</v>
      </c>
      <c r="O948" s="7" t="str">
        <f>IF(ISBLANK(I948),"N/A",IF(((I948-H948)*24)&gt;INDEX(Dim_ServiceType!$E$2:$E$16,MATCH(E948,Dim_ServiceType!$A$2:$A$16,0)),"Yes","No"))</f>
        <v>Yes</v>
      </c>
      <c r="P948" s="7" t="str">
        <f t="shared" si="59"/>
        <v>Closed</v>
      </c>
      <c r="Q948" s="6">
        <v>4</v>
      </c>
      <c r="R948" s="7" t="s">
        <v>196</v>
      </c>
    </row>
    <row r="949" spans="1:18" x14ac:dyDescent="0.35">
      <c r="A949" s="6">
        <v>948</v>
      </c>
      <c r="B949" s="7" t="s">
        <v>1145</v>
      </c>
      <c r="C949" s="6">
        <v>15</v>
      </c>
      <c r="D949" s="6">
        <v>2</v>
      </c>
      <c r="E949" s="6">
        <v>10</v>
      </c>
      <c r="F949" s="6">
        <v>14</v>
      </c>
      <c r="G949" s="9">
        <v>45691.011388888903</v>
      </c>
      <c r="H949" s="9">
        <v>45692.011388888903</v>
      </c>
      <c r="I949" s="9">
        <v>45692.269722222198</v>
      </c>
      <c r="J949" s="9">
        <v>45693.269722222198</v>
      </c>
      <c r="K949" s="7" t="s">
        <v>207</v>
      </c>
      <c r="L949" s="10">
        <f t="shared" si="56"/>
        <v>24</v>
      </c>
      <c r="M949" s="10">
        <f t="shared" si="57"/>
        <v>6.199999999080319</v>
      </c>
      <c r="N949" s="10">
        <f t="shared" si="58"/>
        <v>54.199999999080319</v>
      </c>
      <c r="O949" s="7" t="str">
        <f>IF(ISBLANK(I949),"N/A",IF(((I949-H949)*24)&gt;INDEX(Dim_ServiceType!$E$2:$E$16,MATCH(E949,Dim_ServiceType!$A$2:$A$16,0)),"Yes","No"))</f>
        <v>Yes</v>
      </c>
      <c r="P949" s="7" t="str">
        <f t="shared" si="59"/>
        <v>Closed</v>
      </c>
      <c r="Q949" s="6">
        <v>2</v>
      </c>
      <c r="R949" s="7" t="s">
        <v>196</v>
      </c>
    </row>
    <row r="950" spans="1:18" x14ac:dyDescent="0.35">
      <c r="A950" s="6">
        <v>949</v>
      </c>
      <c r="B950" s="7" t="s">
        <v>1146</v>
      </c>
      <c r="C950" s="6">
        <v>3</v>
      </c>
      <c r="D950" s="6">
        <v>4</v>
      </c>
      <c r="E950" s="6">
        <v>4</v>
      </c>
      <c r="F950" s="6">
        <v>6</v>
      </c>
      <c r="G950" s="9">
        <v>45898.994409722203</v>
      </c>
      <c r="H950" s="9">
        <v>45899.244409722203</v>
      </c>
      <c r="I950" s="9">
        <v>45900.286076388897</v>
      </c>
      <c r="J950" s="9">
        <v>45900.536076388897</v>
      </c>
      <c r="K950" s="7" t="s">
        <v>198</v>
      </c>
      <c r="L950" s="10">
        <f t="shared" si="56"/>
        <v>6</v>
      </c>
      <c r="M950" s="10">
        <f t="shared" si="57"/>
        <v>25.000000000640284</v>
      </c>
      <c r="N950" s="10">
        <f t="shared" si="58"/>
        <v>37.000000000640284</v>
      </c>
      <c r="O950" s="7" t="str">
        <f>IF(ISBLANK(I950),"N/A",IF(((I950-H950)*24)&gt;INDEX(Dim_ServiceType!$E$2:$E$16,MATCH(E950,Dim_ServiceType!$A$2:$A$16,0)),"Yes","No"))</f>
        <v>Yes</v>
      </c>
      <c r="P950" s="7" t="str">
        <f t="shared" si="59"/>
        <v>Closed</v>
      </c>
      <c r="Q950" s="6">
        <v>5</v>
      </c>
      <c r="R950" s="7" t="s">
        <v>196</v>
      </c>
    </row>
    <row r="951" spans="1:18" x14ac:dyDescent="0.35">
      <c r="A951" s="6">
        <v>950</v>
      </c>
      <c r="B951" s="7" t="s">
        <v>1147</v>
      </c>
      <c r="C951" s="6">
        <v>2</v>
      </c>
      <c r="D951" s="6">
        <v>8</v>
      </c>
      <c r="E951" s="6">
        <v>6</v>
      </c>
      <c r="F951" s="6">
        <v>14</v>
      </c>
      <c r="G951" s="9">
        <v>45779.5087152778</v>
      </c>
      <c r="H951" s="9">
        <v>45780.2587152778</v>
      </c>
      <c r="I951" s="9">
        <v>45781.2420486111</v>
      </c>
      <c r="J951" s="9">
        <v>45781.4920486111</v>
      </c>
      <c r="K951" s="7" t="s">
        <v>195</v>
      </c>
      <c r="L951" s="10">
        <f t="shared" si="56"/>
        <v>18</v>
      </c>
      <c r="M951" s="10">
        <f t="shared" si="57"/>
        <v>23.599999999220017</v>
      </c>
      <c r="N951" s="10">
        <f t="shared" si="58"/>
        <v>47.599999999220017</v>
      </c>
      <c r="O951" s="7" t="str">
        <f>IF(ISBLANK(I951),"N/A",IF(((I951-H951)*24)&gt;INDEX(Dim_ServiceType!$E$2:$E$16,MATCH(E951,Dim_ServiceType!$A$2:$A$16,0)),"Yes","No"))</f>
        <v>No</v>
      </c>
      <c r="P951" s="7" t="str">
        <f t="shared" si="59"/>
        <v>Closed</v>
      </c>
      <c r="Q951" s="6">
        <v>4</v>
      </c>
      <c r="R951" s="7" t="s">
        <v>196</v>
      </c>
    </row>
    <row r="952" spans="1:18" x14ac:dyDescent="0.35">
      <c r="A952" s="6">
        <v>951</v>
      </c>
      <c r="B952" s="7" t="s">
        <v>1148</v>
      </c>
      <c r="C952" s="6">
        <v>5</v>
      </c>
      <c r="D952" s="6">
        <v>12</v>
      </c>
      <c r="E952" s="6">
        <v>14</v>
      </c>
      <c r="F952" s="6">
        <v>15</v>
      </c>
      <c r="G952" s="9">
        <v>45826.806493055599</v>
      </c>
      <c r="H952" s="9">
        <v>45826.973159722198</v>
      </c>
      <c r="I952" s="9">
        <v>45827.343993055598</v>
      </c>
      <c r="J952" s="9">
        <v>45828.343993055598</v>
      </c>
      <c r="K952" s="7" t="s">
        <v>198</v>
      </c>
      <c r="L952" s="10">
        <f t="shared" si="56"/>
        <v>3.9999999983701855</v>
      </c>
      <c r="M952" s="10">
        <f t="shared" si="57"/>
        <v>8.9000000015948899</v>
      </c>
      <c r="N952" s="10">
        <f t="shared" si="58"/>
        <v>36.899999999965075</v>
      </c>
      <c r="O952" s="7" t="str">
        <f>IF(ISBLANK(I952),"N/A",IF(((I952-H952)*24)&gt;INDEX(Dim_ServiceType!$E$2:$E$16,MATCH(E952,Dim_ServiceType!$A$2:$A$16,0)),"Yes","No"))</f>
        <v>Yes</v>
      </c>
      <c r="P952" s="7" t="str">
        <f t="shared" si="59"/>
        <v>Closed</v>
      </c>
      <c r="Q952" s="6">
        <v>1</v>
      </c>
      <c r="R952" s="7" t="s">
        <v>196</v>
      </c>
    </row>
    <row r="953" spans="1:18" x14ac:dyDescent="0.35">
      <c r="A953" s="6">
        <v>952</v>
      </c>
      <c r="B953" s="7" t="s">
        <v>1149</v>
      </c>
      <c r="C953" s="6">
        <v>3</v>
      </c>
      <c r="D953" s="6">
        <v>9</v>
      </c>
      <c r="E953" s="6">
        <v>4</v>
      </c>
      <c r="F953" s="6">
        <v>8</v>
      </c>
      <c r="G953" s="9">
        <v>45682.393194444398</v>
      </c>
      <c r="H953" s="9">
        <v>45682.643194444398</v>
      </c>
      <c r="I953" s="9">
        <v>45683.289027777799</v>
      </c>
      <c r="J953" s="9">
        <v>45683.455694444398</v>
      </c>
      <c r="K953" s="7" t="s">
        <v>207</v>
      </c>
      <c r="L953" s="10">
        <f t="shared" si="56"/>
        <v>6</v>
      </c>
      <c r="M953" s="10">
        <f t="shared" si="57"/>
        <v>15.500000001629815</v>
      </c>
      <c r="N953" s="10">
        <f t="shared" si="58"/>
        <v>25.5</v>
      </c>
      <c r="O953" s="7" t="str">
        <f>IF(ISBLANK(I953),"N/A",IF(((I953-H953)*24)&gt;INDEX(Dim_ServiceType!$E$2:$E$16,MATCH(E953,Dim_ServiceType!$A$2:$A$16,0)),"Yes","No"))</f>
        <v>No</v>
      </c>
      <c r="P953" s="7" t="str">
        <f t="shared" si="59"/>
        <v>Closed</v>
      </c>
      <c r="Q953" s="6">
        <v>3</v>
      </c>
      <c r="R953" s="7" t="s">
        <v>196</v>
      </c>
    </row>
    <row r="954" spans="1:18" x14ac:dyDescent="0.35">
      <c r="A954" s="6">
        <v>953</v>
      </c>
      <c r="B954" s="7" t="s">
        <v>1150</v>
      </c>
      <c r="C954" s="6">
        <v>10</v>
      </c>
      <c r="D954" s="6">
        <v>12</v>
      </c>
      <c r="E954" s="6">
        <v>10</v>
      </c>
      <c r="F954" s="6">
        <v>10</v>
      </c>
      <c r="G954" s="9">
        <v>45862.370891203696</v>
      </c>
      <c r="H954" s="9">
        <v>45862.537557870397</v>
      </c>
      <c r="I954" s="9">
        <v>45863.220891203702</v>
      </c>
      <c r="J954" s="9">
        <v>45863.720891203702</v>
      </c>
      <c r="K954" s="7" t="s">
        <v>192</v>
      </c>
      <c r="L954" s="10">
        <f t="shared" si="56"/>
        <v>4.0000000008149073</v>
      </c>
      <c r="M954" s="10">
        <f t="shared" si="57"/>
        <v>16.399999999324791</v>
      </c>
      <c r="N954" s="10">
        <f t="shared" si="58"/>
        <v>32.400000000139698</v>
      </c>
      <c r="O954" s="7" t="str">
        <f>IF(ISBLANK(I954),"N/A",IF(((I954-H954)*24)&gt;INDEX(Dim_ServiceType!$E$2:$E$16,MATCH(E954,Dim_ServiceType!$A$2:$A$16,0)),"Yes","No"))</f>
        <v>Yes</v>
      </c>
      <c r="P954" s="7" t="str">
        <f t="shared" si="59"/>
        <v>Closed</v>
      </c>
      <c r="Q954" s="6">
        <v>4</v>
      </c>
      <c r="R954" s="7" t="s">
        <v>196</v>
      </c>
    </row>
    <row r="955" spans="1:18" x14ac:dyDescent="0.35">
      <c r="A955" s="6">
        <v>954</v>
      </c>
      <c r="B955" s="7" t="s">
        <v>1151</v>
      </c>
      <c r="C955" s="6">
        <v>10</v>
      </c>
      <c r="D955" s="6">
        <v>1</v>
      </c>
      <c r="E955" s="6">
        <v>3</v>
      </c>
      <c r="F955" s="6">
        <v>9</v>
      </c>
      <c r="G955" s="9">
        <v>45882.842002314799</v>
      </c>
      <c r="H955" s="9">
        <v>45883.0086689815</v>
      </c>
      <c r="I955" s="9">
        <v>45883.337835648199</v>
      </c>
      <c r="J955" s="9">
        <v>45883.379502314798</v>
      </c>
      <c r="K955" s="7" t="s">
        <v>192</v>
      </c>
      <c r="L955" s="10">
        <f t="shared" si="56"/>
        <v>4.0000000008149073</v>
      </c>
      <c r="M955" s="10">
        <f t="shared" si="57"/>
        <v>7.9000000007799827</v>
      </c>
      <c r="N955" s="10">
        <f t="shared" si="58"/>
        <v>12.899999999965075</v>
      </c>
      <c r="O955" s="7" t="str">
        <f>IF(ISBLANK(I955),"N/A",IF(((I955-H955)*24)&gt;INDEX(Dim_ServiceType!$E$2:$E$16,MATCH(E955,Dim_ServiceType!$A$2:$A$16,0)),"Yes","No"))</f>
        <v>No</v>
      </c>
      <c r="P955" s="7" t="str">
        <f t="shared" si="59"/>
        <v>Closed</v>
      </c>
      <c r="Q955" s="6">
        <v>1</v>
      </c>
      <c r="R955" s="7" t="s">
        <v>196</v>
      </c>
    </row>
    <row r="956" spans="1:18" x14ac:dyDescent="0.35">
      <c r="A956" s="6">
        <v>955</v>
      </c>
      <c r="B956" s="7" t="s">
        <v>1152</v>
      </c>
      <c r="C956" s="6">
        <v>4</v>
      </c>
      <c r="D956" s="6">
        <v>11</v>
      </c>
      <c r="E956" s="6">
        <v>5</v>
      </c>
      <c r="F956" s="6">
        <v>4</v>
      </c>
      <c r="G956" s="9">
        <v>45891.297789351898</v>
      </c>
      <c r="H956" s="9">
        <v>45891.339456018497</v>
      </c>
      <c r="I956" s="9">
        <v>45891.7602893519</v>
      </c>
      <c r="J956" s="9">
        <v>45891.843622685199</v>
      </c>
      <c r="K956" s="7" t="s">
        <v>207</v>
      </c>
      <c r="L956" s="10">
        <f t="shared" si="56"/>
        <v>0.99999999837018549</v>
      </c>
      <c r="M956" s="10">
        <f t="shared" si="57"/>
        <v>10.100000001664739</v>
      </c>
      <c r="N956" s="10">
        <f t="shared" si="58"/>
        <v>13.099999999220017</v>
      </c>
      <c r="O956" s="7" t="str">
        <f>IF(ISBLANK(I956),"N/A",IF(((I956-H956)*24)&gt;INDEX(Dim_ServiceType!$E$2:$E$16,MATCH(E956,Dim_ServiceType!$A$2:$A$16,0)),"Yes","No"))</f>
        <v>No</v>
      </c>
      <c r="P956" s="7" t="str">
        <f t="shared" si="59"/>
        <v>Closed</v>
      </c>
      <c r="Q956" s="6">
        <v>4</v>
      </c>
      <c r="R956" s="7" t="s">
        <v>196</v>
      </c>
    </row>
    <row r="957" spans="1:18" x14ac:dyDescent="0.35">
      <c r="A957" s="6">
        <v>956</v>
      </c>
      <c r="B957" s="7" t="s">
        <v>1153</v>
      </c>
      <c r="C957" s="6">
        <v>10</v>
      </c>
      <c r="D957" s="6">
        <v>13</v>
      </c>
      <c r="E957" s="6">
        <v>2</v>
      </c>
      <c r="F957" s="6">
        <v>8</v>
      </c>
      <c r="G957" s="9">
        <v>45943.446273148198</v>
      </c>
      <c r="H957" s="9">
        <v>45943.946273148198</v>
      </c>
      <c r="I957" s="9">
        <v>45944.179606481499</v>
      </c>
      <c r="J957" s="9">
        <v>45944.679606481499</v>
      </c>
      <c r="K957" s="7" t="s">
        <v>207</v>
      </c>
      <c r="L957" s="10">
        <f t="shared" si="56"/>
        <v>12</v>
      </c>
      <c r="M957" s="10">
        <f t="shared" si="57"/>
        <v>5.5999999992200173</v>
      </c>
      <c r="N957" s="10">
        <f t="shared" si="58"/>
        <v>29.599999999220017</v>
      </c>
      <c r="O957" s="7" t="str">
        <f>IF(ISBLANK(I957),"N/A",IF(((I957-H957)*24)&gt;INDEX(Dim_ServiceType!$E$2:$E$16,MATCH(E957,Dim_ServiceType!$A$2:$A$16,0)),"Yes","No"))</f>
        <v>No</v>
      </c>
      <c r="P957" s="7" t="str">
        <f t="shared" si="59"/>
        <v>Closed</v>
      </c>
      <c r="Q957" s="6">
        <v>4</v>
      </c>
      <c r="R957" s="7" t="s">
        <v>196</v>
      </c>
    </row>
    <row r="958" spans="1:18" x14ac:dyDescent="0.35">
      <c r="A958" s="6">
        <v>957</v>
      </c>
      <c r="B958" s="7" t="s">
        <v>1154</v>
      </c>
      <c r="C958" s="6">
        <v>2</v>
      </c>
      <c r="D958" s="6">
        <v>2</v>
      </c>
      <c r="E958" s="6">
        <v>1</v>
      </c>
      <c r="F958" s="6">
        <v>9</v>
      </c>
      <c r="G958" s="9">
        <v>45998.193842592598</v>
      </c>
      <c r="H958" s="9"/>
      <c r="I958" s="9"/>
      <c r="J958" s="9"/>
      <c r="K958" s="7" t="s">
        <v>198</v>
      </c>
      <c r="L958" s="10" t="str">
        <f t="shared" si="56"/>
        <v/>
      </c>
      <c r="M958" s="10" t="str">
        <f t="shared" si="57"/>
        <v/>
      </c>
      <c r="N958" s="10" t="str">
        <f t="shared" si="58"/>
        <v/>
      </c>
      <c r="O958" s="7" t="str">
        <f>IF(ISBLANK(I958),"N/A",IF(((I958-H958)*24)&gt;INDEX(Dim_ServiceType!$E$2:$E$16,MATCH(E958,Dim_ServiceType!$A$2:$A$16,0)),"Yes","No"))</f>
        <v>N/A</v>
      </c>
      <c r="P958" s="7" t="str">
        <f t="shared" si="59"/>
        <v>Open (Unassigned)</v>
      </c>
      <c r="Q958" s="6"/>
      <c r="R958" s="7"/>
    </row>
    <row r="959" spans="1:18" x14ac:dyDescent="0.35">
      <c r="A959" s="6">
        <v>958</v>
      </c>
      <c r="B959" s="7" t="s">
        <v>1155</v>
      </c>
      <c r="C959" s="6">
        <v>13</v>
      </c>
      <c r="D959" s="6">
        <v>12</v>
      </c>
      <c r="E959" s="6">
        <v>14</v>
      </c>
      <c r="F959" s="6">
        <v>4</v>
      </c>
      <c r="G959" s="9">
        <v>45964.830069444499</v>
      </c>
      <c r="H959" s="9">
        <v>45964.996736111098</v>
      </c>
      <c r="I959" s="9">
        <v>45965.321736111102</v>
      </c>
      <c r="J959" s="9">
        <v>45965.571736111102</v>
      </c>
      <c r="K959" s="7" t="s">
        <v>198</v>
      </c>
      <c r="L959" s="10">
        <f t="shared" si="56"/>
        <v>3.9999999983701855</v>
      </c>
      <c r="M959" s="10">
        <f t="shared" si="57"/>
        <v>7.8000000001047738</v>
      </c>
      <c r="N959" s="10">
        <f t="shared" si="58"/>
        <v>17.799999998474959</v>
      </c>
      <c r="O959" s="7" t="str">
        <f>IF(ISBLANK(I959),"N/A",IF(((I959-H959)*24)&gt;INDEX(Dim_ServiceType!$E$2:$E$16,MATCH(E959,Dim_ServiceType!$A$2:$A$16,0)),"Yes","No"))</f>
        <v>No</v>
      </c>
      <c r="P959" s="7" t="str">
        <f t="shared" si="59"/>
        <v>Closed</v>
      </c>
      <c r="Q959" s="6">
        <v>3</v>
      </c>
      <c r="R959" s="7" t="s">
        <v>196</v>
      </c>
    </row>
    <row r="960" spans="1:18" x14ac:dyDescent="0.35">
      <c r="A960" s="6">
        <v>959</v>
      </c>
      <c r="B960" s="7" t="s">
        <v>1156</v>
      </c>
      <c r="C960" s="6">
        <v>13</v>
      </c>
      <c r="D960" s="6">
        <v>4</v>
      </c>
      <c r="E960" s="6">
        <v>6</v>
      </c>
      <c r="F960" s="6">
        <v>6</v>
      </c>
      <c r="G960" s="9">
        <v>45979.9215625</v>
      </c>
      <c r="H960" s="9">
        <v>45980.4215625</v>
      </c>
      <c r="I960" s="9">
        <v>45981.379895833299</v>
      </c>
      <c r="J960" s="9">
        <v>45981.5465625</v>
      </c>
      <c r="K960" s="7" t="s">
        <v>200</v>
      </c>
      <c r="L960" s="10">
        <f t="shared" si="56"/>
        <v>12</v>
      </c>
      <c r="M960" s="10">
        <f t="shared" si="57"/>
        <v>22.999999999185093</v>
      </c>
      <c r="N960" s="10">
        <f t="shared" si="58"/>
        <v>39</v>
      </c>
      <c r="O960" s="7" t="str">
        <f>IF(ISBLANK(I960),"N/A",IF(((I960-H960)*24)&gt;INDEX(Dim_ServiceType!$E$2:$E$16,MATCH(E960,Dim_ServiceType!$A$2:$A$16,0)),"Yes","No"))</f>
        <v>No</v>
      </c>
      <c r="P960" s="7" t="str">
        <f t="shared" si="59"/>
        <v>Closed</v>
      </c>
      <c r="Q960" s="6">
        <v>3</v>
      </c>
      <c r="R960" s="7" t="s">
        <v>196</v>
      </c>
    </row>
    <row r="961" spans="1:18" x14ac:dyDescent="0.35">
      <c r="A961" s="6">
        <v>960</v>
      </c>
      <c r="B961" s="7" t="s">
        <v>1157</v>
      </c>
      <c r="C961" s="6">
        <v>11</v>
      </c>
      <c r="D961" s="6">
        <v>7</v>
      </c>
      <c r="E961" s="6">
        <v>2</v>
      </c>
      <c r="F961" s="6">
        <v>7</v>
      </c>
      <c r="G961" s="9">
        <v>46002.2128240741</v>
      </c>
      <c r="H961" s="9"/>
      <c r="I961" s="9"/>
      <c r="J961" s="9"/>
      <c r="K961" s="7" t="s">
        <v>198</v>
      </c>
      <c r="L961" s="10" t="str">
        <f t="shared" si="56"/>
        <v/>
      </c>
      <c r="M961" s="10" t="str">
        <f t="shared" si="57"/>
        <v/>
      </c>
      <c r="N961" s="10" t="str">
        <f t="shared" si="58"/>
        <v/>
      </c>
      <c r="O961" s="7" t="str">
        <f>IF(ISBLANK(I961),"N/A",IF(((I961-H961)*24)&gt;INDEX(Dim_ServiceType!$E$2:$E$16,MATCH(E961,Dim_ServiceType!$A$2:$A$16,0)),"Yes","No"))</f>
        <v>N/A</v>
      </c>
      <c r="P961" s="7" t="str">
        <f t="shared" si="59"/>
        <v>Open (Unassigned)</v>
      </c>
      <c r="Q961" s="6"/>
      <c r="R961" s="7"/>
    </row>
    <row r="962" spans="1:18" x14ac:dyDescent="0.35">
      <c r="A962" s="6">
        <v>961</v>
      </c>
      <c r="B962" s="7" t="s">
        <v>1158</v>
      </c>
      <c r="C962" s="6">
        <v>14</v>
      </c>
      <c r="D962" s="6">
        <v>6</v>
      </c>
      <c r="E962" s="6">
        <v>12</v>
      </c>
      <c r="F962" s="6">
        <v>5</v>
      </c>
      <c r="G962" s="9">
        <v>45960.647245370397</v>
      </c>
      <c r="H962" s="9">
        <v>45961.147245370397</v>
      </c>
      <c r="I962" s="9">
        <v>45961.563912037003</v>
      </c>
      <c r="J962" s="9">
        <v>45961.605578703697</v>
      </c>
      <c r="K962" s="7" t="s">
        <v>195</v>
      </c>
      <c r="L962" s="10">
        <f t="shared" ref="L962:L1001" si="60">IF(ISBLANK(H962),"",(H962-G962)*24)</f>
        <v>12</v>
      </c>
      <c r="M962" s="10">
        <f t="shared" ref="M962:M1001" si="61">IF(ISBLANK(I962),"",(I962-H962)*24)</f>
        <v>9.9999999985448085</v>
      </c>
      <c r="N962" s="10">
        <f t="shared" ref="N962:N1001" si="62">IF(ISBLANK(J962),"",(J962-G962)*24)</f>
        <v>22.999999999185093</v>
      </c>
      <c r="O962" s="7" t="str">
        <f>IF(ISBLANK(I962),"N/A",IF(((I962-H962)*24)&gt;INDEX(Dim_ServiceType!$E$2:$E$16,MATCH(E962,Dim_ServiceType!$A$2:$A$16,0)),"Yes","No"))</f>
        <v>No</v>
      </c>
      <c r="P962" s="7" t="str">
        <f t="shared" ref="P962:P1001" si="63">IF(ISBLANK(H962),"Open (Unassigned)",IF(ISBLANK(I962),"In Progress",IF(ISBLANK(J962),"Resolved (Pending Closure)","Closed")))</f>
        <v>Closed</v>
      </c>
      <c r="Q962" s="6">
        <v>4</v>
      </c>
      <c r="R962" s="7" t="s">
        <v>196</v>
      </c>
    </row>
    <row r="963" spans="1:18" x14ac:dyDescent="0.35">
      <c r="A963" s="6">
        <v>962</v>
      </c>
      <c r="B963" s="7" t="s">
        <v>1159</v>
      </c>
      <c r="C963" s="6">
        <v>4</v>
      </c>
      <c r="D963" s="6">
        <v>1</v>
      </c>
      <c r="E963" s="6">
        <v>11</v>
      </c>
      <c r="F963" s="6">
        <v>5</v>
      </c>
      <c r="G963" s="9">
        <v>45783.084328703699</v>
      </c>
      <c r="H963" s="9">
        <v>45783.334328703699</v>
      </c>
      <c r="I963" s="9"/>
      <c r="J963" s="9"/>
      <c r="K963" s="7" t="s">
        <v>198</v>
      </c>
      <c r="L963" s="10">
        <f t="shared" si="60"/>
        <v>6</v>
      </c>
      <c r="M963" s="10" t="str">
        <f t="shared" si="61"/>
        <v/>
      </c>
      <c r="N963" s="10" t="str">
        <f t="shared" si="62"/>
        <v/>
      </c>
      <c r="O963" s="7" t="str">
        <f>IF(ISBLANK(I963),"N/A",IF(((I963-H963)*24)&gt;INDEX(Dim_ServiceType!$E$2:$E$16,MATCH(E963,Dim_ServiceType!$A$2:$A$16,0)),"Yes","No"))</f>
        <v>N/A</v>
      </c>
      <c r="P963" s="7" t="str">
        <f t="shared" si="63"/>
        <v>In Progress</v>
      </c>
      <c r="Q963" s="6"/>
      <c r="R963" s="7"/>
    </row>
    <row r="964" spans="1:18" x14ac:dyDescent="0.35">
      <c r="A964" s="6">
        <v>963</v>
      </c>
      <c r="B964" s="7" t="s">
        <v>1160</v>
      </c>
      <c r="C964" s="6">
        <v>11</v>
      </c>
      <c r="D964" s="6">
        <v>7</v>
      </c>
      <c r="E964" s="6">
        <v>15</v>
      </c>
      <c r="F964" s="6">
        <v>5</v>
      </c>
      <c r="G964" s="9">
        <v>45757.668796296297</v>
      </c>
      <c r="H964" s="9">
        <v>45758.168796296297</v>
      </c>
      <c r="I964" s="9">
        <v>45761.464629629598</v>
      </c>
      <c r="J964" s="9">
        <v>45761.485462962999</v>
      </c>
      <c r="K964" s="7" t="s">
        <v>195</v>
      </c>
      <c r="L964" s="10">
        <f t="shared" si="60"/>
        <v>12</v>
      </c>
      <c r="M964" s="10">
        <f t="shared" si="61"/>
        <v>79.099999999220017</v>
      </c>
      <c r="N964" s="10">
        <f t="shared" si="62"/>
        <v>91.600000000849832</v>
      </c>
      <c r="O964" s="7" t="str">
        <f>IF(ISBLANK(I964),"N/A",IF(((I964-H964)*24)&gt;INDEX(Dim_ServiceType!$E$2:$E$16,MATCH(E964,Dim_ServiceType!$A$2:$A$16,0)),"Yes","No"))</f>
        <v>Yes</v>
      </c>
      <c r="P964" s="7" t="str">
        <f t="shared" si="63"/>
        <v>Closed</v>
      </c>
      <c r="Q964" s="6">
        <v>5</v>
      </c>
      <c r="R964" s="7" t="s">
        <v>196</v>
      </c>
    </row>
    <row r="965" spans="1:18" x14ac:dyDescent="0.35">
      <c r="A965" s="6">
        <v>964</v>
      </c>
      <c r="B965" s="7" t="s">
        <v>1161</v>
      </c>
      <c r="C965" s="6">
        <v>8</v>
      </c>
      <c r="D965" s="6">
        <v>9</v>
      </c>
      <c r="E965" s="6">
        <v>6</v>
      </c>
      <c r="F965" s="6">
        <v>10</v>
      </c>
      <c r="G965" s="9">
        <v>45718.883229166699</v>
      </c>
      <c r="H965" s="9">
        <v>45719.216562499998</v>
      </c>
      <c r="I965" s="9">
        <v>45720.695729166699</v>
      </c>
      <c r="J965" s="9">
        <v>45720.779062499998</v>
      </c>
      <c r="K965" s="7" t="s">
        <v>192</v>
      </c>
      <c r="L965" s="10">
        <f t="shared" si="60"/>
        <v>7.9999999991850927</v>
      </c>
      <c r="M965" s="10">
        <f t="shared" si="61"/>
        <v>35.500000000814907</v>
      </c>
      <c r="N965" s="10">
        <f t="shared" si="62"/>
        <v>45.499999999185093</v>
      </c>
      <c r="O965" s="7" t="str">
        <f>IF(ISBLANK(I965),"N/A",IF(((I965-H965)*24)&gt;INDEX(Dim_ServiceType!$E$2:$E$16,MATCH(E965,Dim_ServiceType!$A$2:$A$16,0)),"Yes","No"))</f>
        <v>No</v>
      </c>
      <c r="P965" s="7" t="str">
        <f t="shared" si="63"/>
        <v>Closed</v>
      </c>
      <c r="Q965" s="6">
        <v>4</v>
      </c>
      <c r="R965" s="7" t="s">
        <v>196</v>
      </c>
    </row>
    <row r="966" spans="1:18" x14ac:dyDescent="0.35">
      <c r="A966" s="6">
        <v>965</v>
      </c>
      <c r="B966" s="7" t="s">
        <v>1162</v>
      </c>
      <c r="C966" s="6">
        <v>11</v>
      </c>
      <c r="D966" s="6">
        <v>6</v>
      </c>
      <c r="E966" s="6">
        <v>15</v>
      </c>
      <c r="F966" s="6">
        <v>13</v>
      </c>
      <c r="G966" s="9">
        <v>45719.841608796298</v>
      </c>
      <c r="H966" s="9">
        <v>45719.924942129597</v>
      </c>
      <c r="I966" s="9">
        <v>45720.441608796304</v>
      </c>
      <c r="J966" s="9">
        <v>45720.608275462997</v>
      </c>
      <c r="K966" s="7" t="s">
        <v>198</v>
      </c>
      <c r="L966" s="10">
        <f t="shared" si="60"/>
        <v>1.9999999991850927</v>
      </c>
      <c r="M966" s="10">
        <f t="shared" si="61"/>
        <v>12.400000000954606</v>
      </c>
      <c r="N966" s="10">
        <f t="shared" si="62"/>
        <v>18.400000000779983</v>
      </c>
      <c r="O966" s="7" t="str">
        <f>IF(ISBLANK(I966),"N/A",IF(((I966-H966)*24)&gt;INDEX(Dim_ServiceType!$E$2:$E$16,MATCH(E966,Dim_ServiceType!$A$2:$A$16,0)),"Yes","No"))</f>
        <v>No</v>
      </c>
      <c r="P966" s="7" t="str">
        <f t="shared" si="63"/>
        <v>Closed</v>
      </c>
      <c r="Q966" s="6">
        <v>3</v>
      </c>
      <c r="R966" s="7" t="s">
        <v>196</v>
      </c>
    </row>
    <row r="967" spans="1:18" x14ac:dyDescent="0.35">
      <c r="A967" s="6">
        <v>966</v>
      </c>
      <c r="B967" s="7" t="s">
        <v>1163</v>
      </c>
      <c r="C967" s="6">
        <v>1</v>
      </c>
      <c r="D967" s="6">
        <v>8</v>
      </c>
      <c r="E967" s="6">
        <v>3</v>
      </c>
      <c r="F967" s="6">
        <v>15</v>
      </c>
      <c r="G967" s="9">
        <v>45677.112326388902</v>
      </c>
      <c r="H967" s="9">
        <v>45678.112326388902</v>
      </c>
      <c r="I967" s="9">
        <v>45678.324826388904</v>
      </c>
      <c r="J967" s="9">
        <v>45678.408159722203</v>
      </c>
      <c r="K967" s="7" t="s">
        <v>200</v>
      </c>
      <c r="L967" s="10">
        <f t="shared" si="60"/>
        <v>24</v>
      </c>
      <c r="M967" s="10">
        <f t="shared" si="61"/>
        <v>5.1000000000349246</v>
      </c>
      <c r="N967" s="10">
        <f t="shared" si="62"/>
        <v>31.099999999220017</v>
      </c>
      <c r="O967" s="7" t="str">
        <f>IF(ISBLANK(I967),"N/A",IF(((I967-H967)*24)&gt;INDEX(Dim_ServiceType!$E$2:$E$16,MATCH(E967,Dim_ServiceType!$A$2:$A$16,0)),"Yes","No"))</f>
        <v>No</v>
      </c>
      <c r="P967" s="7" t="str">
        <f t="shared" si="63"/>
        <v>Closed</v>
      </c>
      <c r="Q967" s="6">
        <v>5</v>
      </c>
      <c r="R967" s="7" t="s">
        <v>196</v>
      </c>
    </row>
    <row r="968" spans="1:18" x14ac:dyDescent="0.35">
      <c r="A968" s="6">
        <v>967</v>
      </c>
      <c r="B968" s="7" t="s">
        <v>1164</v>
      </c>
      <c r="C968" s="6">
        <v>12</v>
      </c>
      <c r="D968" s="6">
        <v>2</v>
      </c>
      <c r="E968" s="6">
        <v>3</v>
      </c>
      <c r="F968" s="6">
        <v>2</v>
      </c>
      <c r="G968" s="9">
        <v>45855.550752314797</v>
      </c>
      <c r="H968" s="9">
        <v>45855.592418981498</v>
      </c>
      <c r="I968" s="9">
        <v>45855.9090856482</v>
      </c>
      <c r="J968" s="9">
        <v>45855.929918981499</v>
      </c>
      <c r="K968" s="7" t="s">
        <v>207</v>
      </c>
      <c r="L968" s="10">
        <f t="shared" si="60"/>
        <v>1.0000000008149073</v>
      </c>
      <c r="M968" s="10">
        <f t="shared" si="61"/>
        <v>7.6000000008498318</v>
      </c>
      <c r="N968" s="10">
        <f t="shared" si="62"/>
        <v>9.1000000008498318</v>
      </c>
      <c r="O968" s="7" t="str">
        <f>IF(ISBLANK(I968),"N/A",IF(((I968-H968)*24)&gt;INDEX(Dim_ServiceType!$E$2:$E$16,MATCH(E968,Dim_ServiceType!$A$2:$A$16,0)),"Yes","No"))</f>
        <v>No</v>
      </c>
      <c r="P968" s="7" t="str">
        <f t="shared" si="63"/>
        <v>Closed</v>
      </c>
      <c r="Q968" s="6">
        <v>2</v>
      </c>
      <c r="R968" s="7" t="s">
        <v>196</v>
      </c>
    </row>
    <row r="969" spans="1:18" x14ac:dyDescent="0.35">
      <c r="A969" s="6">
        <v>968</v>
      </c>
      <c r="B969" s="7" t="s">
        <v>1165</v>
      </c>
      <c r="C969" s="6">
        <v>2</v>
      </c>
      <c r="D969" s="6">
        <v>9</v>
      </c>
      <c r="E969" s="6">
        <v>5</v>
      </c>
      <c r="F969" s="6">
        <v>1</v>
      </c>
      <c r="G969" s="9">
        <v>45703.399930555599</v>
      </c>
      <c r="H969" s="9">
        <v>45703.420763888898</v>
      </c>
      <c r="I969" s="9">
        <v>45703.749930555598</v>
      </c>
      <c r="J969" s="9">
        <v>45703.999930555598</v>
      </c>
      <c r="K969" s="7" t="s">
        <v>192</v>
      </c>
      <c r="L969" s="10">
        <f t="shared" si="60"/>
        <v>0.49999999918509275</v>
      </c>
      <c r="M969" s="10">
        <f t="shared" si="61"/>
        <v>7.9000000007799827</v>
      </c>
      <c r="N969" s="10">
        <f t="shared" si="62"/>
        <v>14.399999999965075</v>
      </c>
      <c r="O969" s="7" t="str">
        <f>IF(ISBLANK(I969),"N/A",IF(((I969-H969)*24)&gt;INDEX(Dim_ServiceType!$E$2:$E$16,MATCH(E969,Dim_ServiceType!$A$2:$A$16,0)),"Yes","No"))</f>
        <v>No</v>
      </c>
      <c r="P969" s="7" t="str">
        <f t="shared" si="63"/>
        <v>Closed</v>
      </c>
      <c r="Q969" s="6">
        <v>4</v>
      </c>
      <c r="R969" s="7" t="s">
        <v>196</v>
      </c>
    </row>
    <row r="970" spans="1:18" x14ac:dyDescent="0.35">
      <c r="A970" s="6">
        <v>969</v>
      </c>
      <c r="B970" s="7" t="s">
        <v>1166</v>
      </c>
      <c r="C970" s="6">
        <v>4</v>
      </c>
      <c r="D970" s="6">
        <v>2</v>
      </c>
      <c r="E970" s="6">
        <v>15</v>
      </c>
      <c r="F970" s="6">
        <v>2</v>
      </c>
      <c r="G970" s="9">
        <v>45795.014687499999</v>
      </c>
      <c r="H970" s="9">
        <v>45795.514687499999</v>
      </c>
      <c r="I970" s="9">
        <v>45796.756354166697</v>
      </c>
      <c r="J970" s="9">
        <v>45796.923020833303</v>
      </c>
      <c r="K970" s="7" t="s">
        <v>207</v>
      </c>
      <c r="L970" s="10">
        <f t="shared" si="60"/>
        <v>12</v>
      </c>
      <c r="M970" s="10">
        <f t="shared" si="61"/>
        <v>29.800000000745058</v>
      </c>
      <c r="N970" s="10">
        <f t="shared" si="62"/>
        <v>45.799999999289867</v>
      </c>
      <c r="O970" s="7" t="str">
        <f>IF(ISBLANK(I970),"N/A",IF(((I970-H970)*24)&gt;INDEX(Dim_ServiceType!$E$2:$E$16,MATCH(E970,Dim_ServiceType!$A$2:$A$16,0)),"Yes","No"))</f>
        <v>Yes</v>
      </c>
      <c r="P970" s="7" t="str">
        <f t="shared" si="63"/>
        <v>Closed</v>
      </c>
      <c r="Q970" s="6">
        <v>2</v>
      </c>
      <c r="R970" s="7" t="s">
        <v>196</v>
      </c>
    </row>
    <row r="971" spans="1:18" x14ac:dyDescent="0.35">
      <c r="A971" s="6">
        <v>970</v>
      </c>
      <c r="B971" s="7" t="s">
        <v>1167</v>
      </c>
      <c r="C971" s="6">
        <v>3</v>
      </c>
      <c r="D971" s="6">
        <v>6</v>
      </c>
      <c r="E971" s="6">
        <v>10</v>
      </c>
      <c r="F971" s="6">
        <v>13</v>
      </c>
      <c r="G971" s="9">
        <v>45955.659479166701</v>
      </c>
      <c r="H971" s="9">
        <v>45955.909479166701</v>
      </c>
      <c r="I971" s="9">
        <v>45956.113645833299</v>
      </c>
      <c r="J971" s="9">
        <v>45956.363645833299</v>
      </c>
      <c r="K971" s="7" t="s">
        <v>192</v>
      </c>
      <c r="L971" s="10">
        <f t="shared" si="60"/>
        <v>6</v>
      </c>
      <c r="M971" s="10">
        <f t="shared" si="61"/>
        <v>4.8999999983352609</v>
      </c>
      <c r="N971" s="10">
        <f t="shared" si="62"/>
        <v>16.899999998335261</v>
      </c>
      <c r="O971" s="7" t="str">
        <f>IF(ISBLANK(I971),"N/A",IF(((I971-H971)*24)&gt;INDEX(Dim_ServiceType!$E$2:$E$16,MATCH(E971,Dim_ServiceType!$A$2:$A$16,0)),"Yes","No"))</f>
        <v>No</v>
      </c>
      <c r="P971" s="7" t="str">
        <f t="shared" si="63"/>
        <v>Closed</v>
      </c>
      <c r="Q971" s="6">
        <v>5</v>
      </c>
      <c r="R971" s="7" t="s">
        <v>196</v>
      </c>
    </row>
    <row r="972" spans="1:18" x14ac:dyDescent="0.35">
      <c r="A972" s="6">
        <v>971</v>
      </c>
      <c r="B972" s="7" t="s">
        <v>1168</v>
      </c>
      <c r="C972" s="6">
        <v>13</v>
      </c>
      <c r="D972" s="6">
        <v>2</v>
      </c>
      <c r="E972" s="6">
        <v>7</v>
      </c>
      <c r="F972" s="6">
        <v>15</v>
      </c>
      <c r="G972" s="9">
        <v>45821.2891550926</v>
      </c>
      <c r="H972" s="9">
        <v>45821.372488425899</v>
      </c>
      <c r="I972" s="9">
        <v>45821.918321759302</v>
      </c>
      <c r="J972" s="9">
        <v>45822.418321759302</v>
      </c>
      <c r="K972" s="7" t="s">
        <v>198</v>
      </c>
      <c r="L972" s="10">
        <f t="shared" si="60"/>
        <v>1.9999999991850927</v>
      </c>
      <c r="M972" s="10">
        <f t="shared" si="61"/>
        <v>13.100000001664739</v>
      </c>
      <c r="N972" s="10">
        <f t="shared" si="62"/>
        <v>27.100000000849832</v>
      </c>
      <c r="O972" s="7" t="str">
        <f>IF(ISBLANK(I972),"N/A",IF(((I972-H972)*24)&gt;INDEX(Dim_ServiceType!$E$2:$E$16,MATCH(E972,Dim_ServiceType!$A$2:$A$16,0)),"Yes","No"))</f>
        <v>No</v>
      </c>
      <c r="P972" s="7" t="str">
        <f t="shared" si="63"/>
        <v>Closed</v>
      </c>
      <c r="Q972" s="6">
        <v>4</v>
      </c>
      <c r="R972" s="7" t="s">
        <v>196</v>
      </c>
    </row>
    <row r="973" spans="1:18" x14ac:dyDescent="0.35">
      <c r="A973" s="6">
        <v>972</v>
      </c>
      <c r="B973" s="7" t="s">
        <v>1169</v>
      </c>
      <c r="C973" s="6">
        <v>12</v>
      </c>
      <c r="D973" s="6">
        <v>5</v>
      </c>
      <c r="E973" s="6">
        <v>6</v>
      </c>
      <c r="F973" s="6">
        <v>5</v>
      </c>
      <c r="G973" s="9">
        <v>45809.501967592601</v>
      </c>
      <c r="H973" s="9">
        <v>45810.251967592601</v>
      </c>
      <c r="I973" s="9">
        <v>45812.360300925902</v>
      </c>
      <c r="J973" s="9">
        <v>45812.610300925902</v>
      </c>
      <c r="K973" s="7" t="s">
        <v>192</v>
      </c>
      <c r="L973" s="10">
        <f t="shared" si="60"/>
        <v>18</v>
      </c>
      <c r="M973" s="10">
        <f t="shared" si="61"/>
        <v>50.599999999220017</v>
      </c>
      <c r="N973" s="10">
        <f t="shared" si="62"/>
        <v>74.599999999220017</v>
      </c>
      <c r="O973" s="7" t="str">
        <f>IF(ISBLANK(I973),"N/A",IF(((I973-H973)*24)&gt;INDEX(Dim_ServiceType!$E$2:$E$16,MATCH(E973,Dim_ServiceType!$A$2:$A$16,0)),"Yes","No"))</f>
        <v>Yes</v>
      </c>
      <c r="P973" s="7" t="str">
        <f t="shared" si="63"/>
        <v>Closed</v>
      </c>
      <c r="Q973" s="6">
        <v>5</v>
      </c>
      <c r="R973" s="7" t="s">
        <v>196</v>
      </c>
    </row>
    <row r="974" spans="1:18" x14ac:dyDescent="0.35">
      <c r="A974" s="6">
        <v>973</v>
      </c>
      <c r="B974" s="7" t="s">
        <v>1170</v>
      </c>
      <c r="C974" s="6">
        <v>8</v>
      </c>
      <c r="D974" s="6">
        <v>3</v>
      </c>
      <c r="E974" s="6">
        <v>8</v>
      </c>
      <c r="F974" s="6">
        <v>2</v>
      </c>
      <c r="G974" s="9">
        <v>45708.818564814799</v>
      </c>
      <c r="H974" s="9">
        <v>45709.1518981482</v>
      </c>
      <c r="I974" s="9">
        <v>45710.585231481498</v>
      </c>
      <c r="J974" s="9">
        <v>45710.606064814798</v>
      </c>
      <c r="K974" s="7" t="s">
        <v>195</v>
      </c>
      <c r="L974" s="10">
        <f t="shared" si="60"/>
        <v>8.0000000016298145</v>
      </c>
      <c r="M974" s="10">
        <f t="shared" si="61"/>
        <v>34.399999999150168</v>
      </c>
      <c r="N974" s="10">
        <f t="shared" si="62"/>
        <v>42.899999999965075</v>
      </c>
      <c r="O974" s="7" t="str">
        <f>IF(ISBLANK(I974),"N/A",IF(((I974-H974)*24)&gt;INDEX(Dim_ServiceType!$E$2:$E$16,MATCH(E974,Dim_ServiceType!$A$2:$A$16,0)),"Yes","No"))</f>
        <v>Yes</v>
      </c>
      <c r="P974" s="7" t="str">
        <f t="shared" si="63"/>
        <v>Closed</v>
      </c>
      <c r="Q974" s="6">
        <v>5</v>
      </c>
      <c r="R974" s="7" t="s">
        <v>196</v>
      </c>
    </row>
    <row r="975" spans="1:18" x14ac:dyDescent="0.35">
      <c r="A975" s="6">
        <v>974</v>
      </c>
      <c r="B975" s="7" t="s">
        <v>1171</v>
      </c>
      <c r="C975" s="6">
        <v>10</v>
      </c>
      <c r="D975" s="6">
        <v>3</v>
      </c>
      <c r="E975" s="6">
        <v>11</v>
      </c>
      <c r="F975" s="6">
        <v>13</v>
      </c>
      <c r="G975" s="9">
        <v>45942.013159722199</v>
      </c>
      <c r="H975" s="9">
        <v>45942.513159722199</v>
      </c>
      <c r="I975" s="9">
        <v>45943.021493055603</v>
      </c>
      <c r="J975" s="9">
        <v>45943.104826388902</v>
      </c>
      <c r="K975" s="7" t="s">
        <v>207</v>
      </c>
      <c r="L975" s="10">
        <f t="shared" si="60"/>
        <v>12</v>
      </c>
      <c r="M975" s="10">
        <f t="shared" si="61"/>
        <v>12.200000001699664</v>
      </c>
      <c r="N975" s="10">
        <f t="shared" si="62"/>
        <v>26.200000000884756</v>
      </c>
      <c r="O975" s="7" t="str">
        <f>IF(ISBLANK(I975),"N/A",IF(((I975-H975)*24)&gt;INDEX(Dim_ServiceType!$E$2:$E$16,MATCH(E975,Dim_ServiceType!$A$2:$A$16,0)),"Yes","No"))</f>
        <v>Yes</v>
      </c>
      <c r="P975" s="7" t="str">
        <f t="shared" si="63"/>
        <v>Closed</v>
      </c>
      <c r="Q975" s="6">
        <v>5</v>
      </c>
      <c r="R975" s="7" t="s">
        <v>193</v>
      </c>
    </row>
    <row r="976" spans="1:18" x14ac:dyDescent="0.35">
      <c r="A976" s="6">
        <v>975</v>
      </c>
      <c r="B976" s="7" t="s">
        <v>1172</v>
      </c>
      <c r="C976" s="6">
        <v>6</v>
      </c>
      <c r="D976" s="6">
        <v>12</v>
      </c>
      <c r="E976" s="6">
        <v>11</v>
      </c>
      <c r="F976" s="6">
        <v>9</v>
      </c>
      <c r="G976" s="9">
        <v>45851.546875</v>
      </c>
      <c r="H976" s="9">
        <v>45851.671875</v>
      </c>
      <c r="I976" s="9">
        <v>45852.146874999999</v>
      </c>
      <c r="J976" s="9">
        <v>45852.646874999999</v>
      </c>
      <c r="K976" s="7" t="s">
        <v>198</v>
      </c>
      <c r="L976" s="10">
        <f t="shared" si="60"/>
        <v>3</v>
      </c>
      <c r="M976" s="10">
        <f t="shared" si="61"/>
        <v>11.399999999965075</v>
      </c>
      <c r="N976" s="10">
        <f t="shared" si="62"/>
        <v>26.399999999965075</v>
      </c>
      <c r="O976" s="7" t="str">
        <f>IF(ISBLANK(I976),"N/A",IF(((I976-H976)*24)&gt;INDEX(Dim_ServiceType!$E$2:$E$16,MATCH(E976,Dim_ServiceType!$A$2:$A$16,0)),"Yes","No"))</f>
        <v>No</v>
      </c>
      <c r="P976" s="7" t="str">
        <f t="shared" si="63"/>
        <v>Closed</v>
      </c>
      <c r="Q976" s="6">
        <v>5</v>
      </c>
      <c r="R976" s="7" t="s">
        <v>196</v>
      </c>
    </row>
    <row r="977" spans="1:18" x14ac:dyDescent="0.35">
      <c r="A977" s="6">
        <v>976</v>
      </c>
      <c r="B977" s="7" t="s">
        <v>1173</v>
      </c>
      <c r="C977" s="6">
        <v>2</v>
      </c>
      <c r="D977" s="6">
        <v>14</v>
      </c>
      <c r="E977" s="6">
        <v>8</v>
      </c>
      <c r="F977" s="6">
        <v>4</v>
      </c>
      <c r="G977" s="9">
        <v>45853.203877314802</v>
      </c>
      <c r="H977" s="9">
        <v>45853.537210648101</v>
      </c>
      <c r="I977" s="9">
        <v>45853.853877314803</v>
      </c>
      <c r="J977" s="9">
        <v>45853.874710648197</v>
      </c>
      <c r="K977" s="7" t="s">
        <v>195</v>
      </c>
      <c r="L977" s="10">
        <f t="shared" si="60"/>
        <v>7.9999999991850927</v>
      </c>
      <c r="M977" s="10">
        <f t="shared" si="61"/>
        <v>7.6000000008498318</v>
      </c>
      <c r="N977" s="10">
        <f t="shared" si="62"/>
        <v>16.100000001490116</v>
      </c>
      <c r="O977" s="7" t="str">
        <f>IF(ISBLANK(I977),"N/A",IF(((I977-H977)*24)&gt;INDEX(Dim_ServiceType!$E$2:$E$16,MATCH(E977,Dim_ServiceType!$A$2:$A$16,0)),"Yes","No"))</f>
        <v>Yes</v>
      </c>
      <c r="P977" s="7" t="str">
        <f t="shared" si="63"/>
        <v>Closed</v>
      </c>
      <c r="Q977" s="6">
        <v>4</v>
      </c>
      <c r="R977" s="7" t="s">
        <v>196</v>
      </c>
    </row>
    <row r="978" spans="1:18" x14ac:dyDescent="0.35">
      <c r="A978" s="6">
        <v>977</v>
      </c>
      <c r="B978" s="7" t="s">
        <v>1174</v>
      </c>
      <c r="C978" s="6">
        <v>15</v>
      </c>
      <c r="D978" s="6">
        <v>11</v>
      </c>
      <c r="E978" s="6">
        <v>11</v>
      </c>
      <c r="F978" s="6">
        <v>8</v>
      </c>
      <c r="G978" s="9">
        <v>45925.751840277801</v>
      </c>
      <c r="H978" s="9">
        <v>45926.751840277801</v>
      </c>
      <c r="I978" s="9">
        <v>45927.239340277803</v>
      </c>
      <c r="J978" s="9">
        <v>45927.322673611103</v>
      </c>
      <c r="K978" s="7" t="s">
        <v>195</v>
      </c>
      <c r="L978" s="10">
        <f t="shared" si="60"/>
        <v>24</v>
      </c>
      <c r="M978" s="10">
        <f t="shared" si="61"/>
        <v>11.700000000069849</v>
      </c>
      <c r="N978" s="10">
        <f t="shared" si="62"/>
        <v>37.699999999254942</v>
      </c>
      <c r="O978" s="7" t="str">
        <f>IF(ISBLANK(I978),"N/A",IF(((I978-H978)*24)&gt;INDEX(Dim_ServiceType!$E$2:$E$16,MATCH(E978,Dim_ServiceType!$A$2:$A$16,0)),"Yes","No"))</f>
        <v>No</v>
      </c>
      <c r="P978" s="7" t="str">
        <f t="shared" si="63"/>
        <v>Closed</v>
      </c>
      <c r="Q978" s="6">
        <v>1</v>
      </c>
      <c r="R978" s="7" t="s">
        <v>193</v>
      </c>
    </row>
    <row r="979" spans="1:18" x14ac:dyDescent="0.35">
      <c r="A979" s="6">
        <v>978</v>
      </c>
      <c r="B979" s="7" t="s">
        <v>1175</v>
      </c>
      <c r="C979" s="6">
        <v>1</v>
      </c>
      <c r="D979" s="6">
        <v>15</v>
      </c>
      <c r="E979" s="6">
        <v>12</v>
      </c>
      <c r="F979" s="6">
        <v>14</v>
      </c>
      <c r="G979" s="9">
        <v>45817.230740740699</v>
      </c>
      <c r="H979" s="9">
        <v>45817.480740740699</v>
      </c>
      <c r="I979" s="9">
        <v>45821.234907407401</v>
      </c>
      <c r="J979" s="9">
        <v>45822.234907407401</v>
      </c>
      <c r="K979" s="7" t="s">
        <v>207</v>
      </c>
      <c r="L979" s="10">
        <f t="shared" si="60"/>
        <v>6</v>
      </c>
      <c r="M979" s="10">
        <f t="shared" si="61"/>
        <v>90.100000000849832</v>
      </c>
      <c r="N979" s="10">
        <f t="shared" si="62"/>
        <v>120.10000000084983</v>
      </c>
      <c r="O979" s="7" t="str">
        <f>IF(ISBLANK(I979),"N/A",IF(((I979-H979)*24)&gt;INDEX(Dim_ServiceType!$E$2:$E$16,MATCH(E979,Dim_ServiceType!$A$2:$A$16,0)),"Yes","No"))</f>
        <v>Yes</v>
      </c>
      <c r="P979" s="7" t="str">
        <f t="shared" si="63"/>
        <v>Closed</v>
      </c>
      <c r="Q979" s="6">
        <v>3</v>
      </c>
      <c r="R979" s="7" t="s">
        <v>193</v>
      </c>
    </row>
    <row r="980" spans="1:18" x14ac:dyDescent="0.35">
      <c r="A980" s="6">
        <v>979</v>
      </c>
      <c r="B980" s="7" t="s">
        <v>1176</v>
      </c>
      <c r="C980" s="6">
        <v>6</v>
      </c>
      <c r="D980" s="6">
        <v>1</v>
      </c>
      <c r="E980" s="6">
        <v>11</v>
      </c>
      <c r="F980" s="6">
        <v>1</v>
      </c>
      <c r="G980" s="9">
        <v>45809.960717592599</v>
      </c>
      <c r="H980" s="9">
        <v>45810.210717592599</v>
      </c>
      <c r="I980" s="9">
        <v>45810.598217592596</v>
      </c>
      <c r="J980" s="9">
        <v>45810.848217592596</v>
      </c>
      <c r="K980" s="7" t="s">
        <v>192</v>
      </c>
      <c r="L980" s="10">
        <f t="shared" si="60"/>
        <v>6</v>
      </c>
      <c r="M980" s="10">
        <f t="shared" si="61"/>
        <v>9.2999999999301508</v>
      </c>
      <c r="N980" s="10">
        <f t="shared" si="62"/>
        <v>21.299999999930151</v>
      </c>
      <c r="O980" s="7" t="str">
        <f>IF(ISBLANK(I980),"N/A",IF(((I980-H980)*24)&gt;INDEX(Dim_ServiceType!$E$2:$E$16,MATCH(E980,Dim_ServiceType!$A$2:$A$16,0)),"Yes","No"))</f>
        <v>No</v>
      </c>
      <c r="P980" s="7" t="str">
        <f t="shared" si="63"/>
        <v>Closed</v>
      </c>
      <c r="Q980" s="6">
        <v>3</v>
      </c>
      <c r="R980" s="7" t="s">
        <v>196</v>
      </c>
    </row>
    <row r="981" spans="1:18" x14ac:dyDescent="0.35">
      <c r="A981" s="6">
        <v>980</v>
      </c>
      <c r="B981" s="7" t="s">
        <v>1177</v>
      </c>
      <c r="C981" s="6">
        <v>2</v>
      </c>
      <c r="D981" s="6">
        <v>12</v>
      </c>
      <c r="E981" s="6">
        <v>8</v>
      </c>
      <c r="F981" s="6">
        <v>9</v>
      </c>
      <c r="G981" s="9">
        <v>45739.014756944503</v>
      </c>
      <c r="H981" s="9">
        <v>45739.035590277803</v>
      </c>
      <c r="I981" s="9">
        <v>45739.1730902778</v>
      </c>
      <c r="J981" s="9">
        <v>45739.256423611099</v>
      </c>
      <c r="K981" s="7" t="s">
        <v>207</v>
      </c>
      <c r="L981" s="10">
        <f t="shared" si="60"/>
        <v>0.49999999918509275</v>
      </c>
      <c r="M981" s="10">
        <f t="shared" si="61"/>
        <v>3.2999999999301508</v>
      </c>
      <c r="N981" s="10">
        <f t="shared" si="62"/>
        <v>5.7999999983003363</v>
      </c>
      <c r="O981" s="7" t="str">
        <f>IF(ISBLANK(I981),"N/A",IF(((I981-H981)*24)&gt;INDEX(Dim_ServiceType!$E$2:$E$16,MATCH(E981,Dim_ServiceType!$A$2:$A$16,0)),"Yes","No"))</f>
        <v>No</v>
      </c>
      <c r="P981" s="7" t="str">
        <f t="shared" si="63"/>
        <v>Closed</v>
      </c>
      <c r="Q981" s="6">
        <v>2</v>
      </c>
      <c r="R981" s="7" t="s">
        <v>196</v>
      </c>
    </row>
    <row r="982" spans="1:18" x14ac:dyDescent="0.35">
      <c r="A982" s="6">
        <v>981</v>
      </c>
      <c r="B982" s="7" t="s">
        <v>1178</v>
      </c>
      <c r="C982" s="6">
        <v>11</v>
      </c>
      <c r="D982" s="6">
        <v>9</v>
      </c>
      <c r="E982" s="6">
        <v>6</v>
      </c>
      <c r="F982" s="6">
        <v>15</v>
      </c>
      <c r="G982" s="9">
        <v>45992.962349537003</v>
      </c>
      <c r="H982" s="9">
        <v>45993.129016203697</v>
      </c>
      <c r="I982" s="9">
        <v>45994.587349537003</v>
      </c>
      <c r="J982" s="9">
        <v>45994.608182870397</v>
      </c>
      <c r="K982" s="7" t="s">
        <v>198</v>
      </c>
      <c r="L982" s="10">
        <f t="shared" si="60"/>
        <v>4.0000000006402843</v>
      </c>
      <c r="M982" s="10">
        <f t="shared" si="61"/>
        <v>34.999999999359716</v>
      </c>
      <c r="N982" s="10">
        <f t="shared" si="62"/>
        <v>39.500000001455192</v>
      </c>
      <c r="O982" s="7" t="str">
        <f>IF(ISBLANK(I982),"N/A",IF(((I982-H982)*24)&gt;INDEX(Dim_ServiceType!$E$2:$E$16,MATCH(E982,Dim_ServiceType!$A$2:$A$16,0)),"Yes","No"))</f>
        <v>No</v>
      </c>
      <c r="P982" s="7" t="str">
        <f t="shared" si="63"/>
        <v>Closed</v>
      </c>
      <c r="Q982" s="6">
        <v>2</v>
      </c>
      <c r="R982" s="7" t="s">
        <v>196</v>
      </c>
    </row>
    <row r="983" spans="1:18" x14ac:dyDescent="0.35">
      <c r="A983" s="6">
        <v>982</v>
      </c>
      <c r="B983" s="7" t="s">
        <v>1179</v>
      </c>
      <c r="C983" s="6">
        <v>11</v>
      </c>
      <c r="D983" s="6">
        <v>14</v>
      </c>
      <c r="E983" s="6">
        <v>10</v>
      </c>
      <c r="F983" s="6">
        <v>13</v>
      </c>
      <c r="G983" s="9">
        <v>45660.146840277797</v>
      </c>
      <c r="H983" s="9">
        <v>45660.167673611097</v>
      </c>
      <c r="I983" s="9">
        <v>45660.288506944496</v>
      </c>
      <c r="J983" s="9">
        <v>45660.371840277803</v>
      </c>
      <c r="K983" s="7" t="s">
        <v>192</v>
      </c>
      <c r="L983" s="10">
        <f t="shared" si="60"/>
        <v>0.49999999918509275</v>
      </c>
      <c r="M983" s="10">
        <f t="shared" si="61"/>
        <v>2.9000000015948899</v>
      </c>
      <c r="N983" s="10">
        <f t="shared" si="62"/>
        <v>5.4000000001396984</v>
      </c>
      <c r="O983" s="7" t="str">
        <f>IF(ISBLANK(I983),"N/A",IF(((I983-H983)*24)&gt;INDEX(Dim_ServiceType!$E$2:$E$16,MATCH(E983,Dim_ServiceType!$A$2:$A$16,0)),"Yes","No"))</f>
        <v>No</v>
      </c>
      <c r="P983" s="7" t="str">
        <f t="shared" si="63"/>
        <v>Closed</v>
      </c>
      <c r="Q983" s="6">
        <v>4</v>
      </c>
      <c r="R983" s="7" t="s">
        <v>196</v>
      </c>
    </row>
    <row r="984" spans="1:18" x14ac:dyDescent="0.35">
      <c r="A984" s="6">
        <v>983</v>
      </c>
      <c r="B984" s="7" t="s">
        <v>1180</v>
      </c>
      <c r="C984" s="6">
        <v>7</v>
      </c>
      <c r="D984" s="6">
        <v>9</v>
      </c>
      <c r="E984" s="6">
        <v>10</v>
      </c>
      <c r="F984" s="6">
        <v>14</v>
      </c>
      <c r="G984" s="9">
        <v>45696.6962152778</v>
      </c>
      <c r="H984" s="9">
        <v>45697.1962152778</v>
      </c>
      <c r="I984" s="9"/>
      <c r="J984" s="9"/>
      <c r="K984" s="7" t="s">
        <v>200</v>
      </c>
      <c r="L984" s="10">
        <f t="shared" si="60"/>
        <v>12</v>
      </c>
      <c r="M984" s="10" t="str">
        <f t="shared" si="61"/>
        <v/>
      </c>
      <c r="N984" s="10" t="str">
        <f t="shared" si="62"/>
        <v/>
      </c>
      <c r="O984" s="7" t="str">
        <f>IF(ISBLANK(I984),"N/A",IF(((I984-H984)*24)&gt;INDEX(Dim_ServiceType!$E$2:$E$16,MATCH(E984,Dim_ServiceType!$A$2:$A$16,0)),"Yes","No"))</f>
        <v>N/A</v>
      </c>
      <c r="P984" s="7" t="str">
        <f t="shared" si="63"/>
        <v>In Progress</v>
      </c>
      <c r="Q984" s="6"/>
      <c r="R984" s="7"/>
    </row>
    <row r="985" spans="1:18" x14ac:dyDescent="0.35">
      <c r="A985" s="6">
        <v>984</v>
      </c>
      <c r="B985" s="7" t="s">
        <v>1181</v>
      </c>
      <c r="C985" s="6">
        <v>3</v>
      </c>
      <c r="D985" s="6">
        <v>2</v>
      </c>
      <c r="E985" s="6">
        <v>9</v>
      </c>
      <c r="F985" s="6">
        <v>13</v>
      </c>
      <c r="G985" s="9">
        <v>45663.987615740698</v>
      </c>
      <c r="H985" s="9">
        <v>45664.237615740698</v>
      </c>
      <c r="I985" s="9"/>
      <c r="J985" s="9"/>
      <c r="K985" s="7" t="s">
        <v>200</v>
      </c>
      <c r="L985" s="10">
        <f t="shared" si="60"/>
        <v>6</v>
      </c>
      <c r="M985" s="10" t="str">
        <f t="shared" si="61"/>
        <v/>
      </c>
      <c r="N985" s="10" t="str">
        <f t="shared" si="62"/>
        <v/>
      </c>
      <c r="O985" s="7" t="str">
        <f>IF(ISBLANK(I985),"N/A",IF(((I985-H985)*24)&gt;INDEX(Dim_ServiceType!$E$2:$E$16,MATCH(E985,Dim_ServiceType!$A$2:$A$16,0)),"Yes","No"))</f>
        <v>N/A</v>
      </c>
      <c r="P985" s="7" t="str">
        <f t="shared" si="63"/>
        <v>In Progress</v>
      </c>
      <c r="Q985" s="6"/>
      <c r="R985" s="7"/>
    </row>
    <row r="986" spans="1:18" x14ac:dyDescent="0.35">
      <c r="A986" s="6">
        <v>985</v>
      </c>
      <c r="B986" s="7" t="s">
        <v>1182</v>
      </c>
      <c r="C986" s="6">
        <v>8</v>
      </c>
      <c r="D986" s="6">
        <v>7</v>
      </c>
      <c r="E986" s="6">
        <v>15</v>
      </c>
      <c r="F986" s="6">
        <v>2</v>
      </c>
      <c r="G986" s="9">
        <v>45671.308321759301</v>
      </c>
      <c r="H986" s="9">
        <v>45672.308321759301</v>
      </c>
      <c r="I986" s="9">
        <v>45672.837488425903</v>
      </c>
      <c r="J986" s="9">
        <v>45673.087488425903</v>
      </c>
      <c r="K986" s="7" t="s">
        <v>200</v>
      </c>
      <c r="L986" s="10">
        <f t="shared" si="60"/>
        <v>24</v>
      </c>
      <c r="M986" s="10">
        <f t="shared" si="61"/>
        <v>12.699999998440035</v>
      </c>
      <c r="N986" s="10">
        <f t="shared" si="62"/>
        <v>42.699999998440035</v>
      </c>
      <c r="O986" s="7" t="str">
        <f>IF(ISBLANK(I986),"N/A",IF(((I986-H986)*24)&gt;INDEX(Dim_ServiceType!$E$2:$E$16,MATCH(E986,Dim_ServiceType!$A$2:$A$16,0)),"Yes","No"))</f>
        <v>No</v>
      </c>
      <c r="P986" s="7" t="str">
        <f t="shared" si="63"/>
        <v>Closed</v>
      </c>
      <c r="Q986" s="6">
        <v>2</v>
      </c>
      <c r="R986" s="7" t="s">
        <v>196</v>
      </c>
    </row>
    <row r="987" spans="1:18" x14ac:dyDescent="0.35">
      <c r="A987" s="6">
        <v>986</v>
      </c>
      <c r="B987" s="7" t="s">
        <v>1183</v>
      </c>
      <c r="C987" s="6">
        <v>4</v>
      </c>
      <c r="D987" s="6">
        <v>4</v>
      </c>
      <c r="E987" s="6">
        <v>3</v>
      </c>
      <c r="F987" s="6">
        <v>14</v>
      </c>
      <c r="G987" s="9">
        <v>45721.2218055556</v>
      </c>
      <c r="H987" s="9">
        <v>45721.3468055556</v>
      </c>
      <c r="I987" s="9">
        <v>45721.630138888897</v>
      </c>
      <c r="J987" s="9">
        <v>45721.650972222204</v>
      </c>
      <c r="K987" s="7" t="s">
        <v>195</v>
      </c>
      <c r="L987" s="10">
        <f t="shared" si="60"/>
        <v>3</v>
      </c>
      <c r="M987" s="10">
        <f t="shared" si="61"/>
        <v>6.7999999991152436</v>
      </c>
      <c r="N987" s="10">
        <f t="shared" si="62"/>
        <v>10.299999998474959</v>
      </c>
      <c r="O987" s="7" t="str">
        <f>IF(ISBLANK(I987),"N/A",IF(((I987-H987)*24)&gt;INDEX(Dim_ServiceType!$E$2:$E$16,MATCH(E987,Dim_ServiceType!$A$2:$A$16,0)),"Yes","No"))</f>
        <v>No</v>
      </c>
      <c r="P987" s="7" t="str">
        <f t="shared" si="63"/>
        <v>Closed</v>
      </c>
      <c r="Q987" s="6">
        <v>5</v>
      </c>
      <c r="R987" s="7" t="s">
        <v>196</v>
      </c>
    </row>
    <row r="988" spans="1:18" x14ac:dyDescent="0.35">
      <c r="A988" s="6">
        <v>987</v>
      </c>
      <c r="B988" s="7" t="s">
        <v>1184</v>
      </c>
      <c r="C988" s="6">
        <v>14</v>
      </c>
      <c r="D988" s="6">
        <v>8</v>
      </c>
      <c r="E988" s="6">
        <v>2</v>
      </c>
      <c r="F988" s="6">
        <v>1</v>
      </c>
      <c r="G988" s="9">
        <v>45979.938564814802</v>
      </c>
      <c r="H988" s="9">
        <v>45980.438564814802</v>
      </c>
      <c r="I988" s="9">
        <v>45980.571898148199</v>
      </c>
      <c r="J988" s="9">
        <v>45980.592731481498</v>
      </c>
      <c r="K988" s="7" t="s">
        <v>195</v>
      </c>
      <c r="L988" s="10">
        <f t="shared" si="60"/>
        <v>12</v>
      </c>
      <c r="M988" s="10">
        <f t="shared" si="61"/>
        <v>3.2000000015250407</v>
      </c>
      <c r="N988" s="10">
        <f t="shared" si="62"/>
        <v>15.700000000710133</v>
      </c>
      <c r="O988" s="7" t="str">
        <f>IF(ISBLANK(I988),"N/A",IF(((I988-H988)*24)&gt;INDEX(Dim_ServiceType!$E$2:$E$16,MATCH(E988,Dim_ServiceType!$A$2:$A$16,0)),"Yes","No"))</f>
        <v>No</v>
      </c>
      <c r="P988" s="7" t="str">
        <f t="shared" si="63"/>
        <v>Closed</v>
      </c>
      <c r="Q988" s="6">
        <v>3</v>
      </c>
      <c r="R988" s="7" t="s">
        <v>196</v>
      </c>
    </row>
    <row r="989" spans="1:18" x14ac:dyDescent="0.35">
      <c r="A989" s="6">
        <v>988</v>
      </c>
      <c r="B989" s="7" t="s">
        <v>1185</v>
      </c>
      <c r="C989" s="6">
        <v>6</v>
      </c>
      <c r="D989" s="6">
        <v>4</v>
      </c>
      <c r="E989" s="6">
        <v>11</v>
      </c>
      <c r="F989" s="6">
        <v>7</v>
      </c>
      <c r="G989" s="9">
        <v>45879.2011921296</v>
      </c>
      <c r="H989" s="9">
        <v>45879.284525463001</v>
      </c>
      <c r="I989" s="9"/>
      <c r="J989" s="9"/>
      <c r="K989" s="7" t="s">
        <v>192</v>
      </c>
      <c r="L989" s="10">
        <f t="shared" si="60"/>
        <v>2.0000000016298145</v>
      </c>
      <c r="M989" s="10" t="str">
        <f t="shared" si="61"/>
        <v/>
      </c>
      <c r="N989" s="10" t="str">
        <f t="shared" si="62"/>
        <v/>
      </c>
      <c r="O989" s="7" t="str">
        <f>IF(ISBLANK(I989),"N/A",IF(((I989-H989)*24)&gt;INDEX(Dim_ServiceType!$E$2:$E$16,MATCH(E989,Dim_ServiceType!$A$2:$A$16,0)),"Yes","No"))</f>
        <v>N/A</v>
      </c>
      <c r="P989" s="7" t="str">
        <f t="shared" si="63"/>
        <v>In Progress</v>
      </c>
      <c r="Q989" s="6"/>
      <c r="R989" s="7"/>
    </row>
    <row r="990" spans="1:18" x14ac:dyDescent="0.35">
      <c r="A990" s="6">
        <v>989</v>
      </c>
      <c r="B990" s="7" t="s">
        <v>1186</v>
      </c>
      <c r="C990" s="6">
        <v>5</v>
      </c>
      <c r="D990" s="6">
        <v>9</v>
      </c>
      <c r="E990" s="6">
        <v>9</v>
      </c>
      <c r="F990" s="6">
        <v>1</v>
      </c>
      <c r="G990" s="9">
        <v>45716.507962962998</v>
      </c>
      <c r="H990" s="9">
        <v>45717.507962962998</v>
      </c>
      <c r="I990" s="9">
        <v>45732.128796296303</v>
      </c>
      <c r="J990" s="9">
        <v>45733.128796296303</v>
      </c>
      <c r="K990" s="7" t="s">
        <v>195</v>
      </c>
      <c r="L990" s="10">
        <f t="shared" si="60"/>
        <v>24</v>
      </c>
      <c r="M990" s="10">
        <f t="shared" si="61"/>
        <v>350.89999999932479</v>
      </c>
      <c r="N990" s="10">
        <f t="shared" si="62"/>
        <v>398.89999999932479</v>
      </c>
      <c r="O990" s="7" t="str">
        <f>IF(ISBLANK(I990),"N/A",IF(((I990-H990)*24)&gt;INDEX(Dim_ServiceType!$E$2:$E$16,MATCH(E990,Dim_ServiceType!$A$2:$A$16,0)),"Yes","No"))</f>
        <v>Yes</v>
      </c>
      <c r="P990" s="7" t="str">
        <f t="shared" si="63"/>
        <v>Closed</v>
      </c>
      <c r="Q990" s="6">
        <v>5</v>
      </c>
      <c r="R990" s="7" t="s">
        <v>196</v>
      </c>
    </row>
    <row r="991" spans="1:18" x14ac:dyDescent="0.35">
      <c r="A991" s="6">
        <v>990</v>
      </c>
      <c r="B991" s="7" t="s">
        <v>1187</v>
      </c>
      <c r="C991" s="6">
        <v>14</v>
      </c>
      <c r="D991" s="6">
        <v>11</v>
      </c>
      <c r="E991" s="6">
        <v>1</v>
      </c>
      <c r="F991" s="6">
        <v>4</v>
      </c>
      <c r="G991" s="9">
        <v>45997.090381944399</v>
      </c>
      <c r="H991" s="9"/>
      <c r="I991" s="9"/>
      <c r="J991" s="9"/>
      <c r="K991" s="7" t="s">
        <v>200</v>
      </c>
      <c r="L991" s="10" t="str">
        <f t="shared" si="60"/>
        <v/>
      </c>
      <c r="M991" s="10" t="str">
        <f t="shared" si="61"/>
        <v/>
      </c>
      <c r="N991" s="10" t="str">
        <f t="shared" si="62"/>
        <v/>
      </c>
      <c r="O991" s="7" t="str">
        <f>IF(ISBLANK(I991),"N/A",IF(((I991-H991)*24)&gt;INDEX(Dim_ServiceType!$E$2:$E$16,MATCH(E991,Dim_ServiceType!$A$2:$A$16,0)),"Yes","No"))</f>
        <v>N/A</v>
      </c>
      <c r="P991" s="7" t="str">
        <f t="shared" si="63"/>
        <v>Open (Unassigned)</v>
      </c>
      <c r="Q991" s="6"/>
      <c r="R991" s="7"/>
    </row>
    <row r="992" spans="1:18" x14ac:dyDescent="0.35">
      <c r="A992" s="6">
        <v>991</v>
      </c>
      <c r="B992" s="7" t="s">
        <v>1188</v>
      </c>
      <c r="C992" s="6">
        <v>8</v>
      </c>
      <c r="D992" s="6">
        <v>9</v>
      </c>
      <c r="E992" s="6">
        <v>10</v>
      </c>
      <c r="F992" s="6">
        <v>10</v>
      </c>
      <c r="G992" s="9">
        <v>45660.218831018501</v>
      </c>
      <c r="H992" s="9">
        <v>45660.552164351902</v>
      </c>
      <c r="I992" s="9">
        <v>45660.722997685203</v>
      </c>
      <c r="J992" s="9">
        <v>45660.806331018503</v>
      </c>
      <c r="K992" s="7" t="s">
        <v>207</v>
      </c>
      <c r="L992" s="10">
        <f t="shared" si="60"/>
        <v>8.0000000016298145</v>
      </c>
      <c r="M992" s="10">
        <f t="shared" si="61"/>
        <v>4.0999999992200173</v>
      </c>
      <c r="N992" s="10">
        <f t="shared" si="62"/>
        <v>14.100000000034925</v>
      </c>
      <c r="O992" s="7" t="str">
        <f>IF(ISBLANK(I992),"N/A",IF(((I992-H992)*24)&gt;INDEX(Dim_ServiceType!$E$2:$E$16,MATCH(E992,Dim_ServiceType!$A$2:$A$16,0)),"Yes","No"))</f>
        <v>No</v>
      </c>
      <c r="P992" s="7" t="str">
        <f t="shared" si="63"/>
        <v>Closed</v>
      </c>
      <c r="Q992" s="6">
        <v>3</v>
      </c>
      <c r="R992" s="7" t="s">
        <v>196</v>
      </c>
    </row>
    <row r="993" spans="1:18" x14ac:dyDescent="0.35">
      <c r="A993" s="6">
        <v>992</v>
      </c>
      <c r="B993" s="7" t="s">
        <v>1189</v>
      </c>
      <c r="C993" s="6">
        <v>1</v>
      </c>
      <c r="D993" s="6">
        <v>14</v>
      </c>
      <c r="E993" s="6">
        <v>10</v>
      </c>
      <c r="F993" s="6">
        <v>3</v>
      </c>
      <c r="G993" s="9">
        <v>45885.503877314797</v>
      </c>
      <c r="H993" s="9">
        <v>45885.545543981498</v>
      </c>
      <c r="I993" s="9">
        <v>45885.783043981501</v>
      </c>
      <c r="J993" s="9">
        <v>45885.949710648201</v>
      </c>
      <c r="K993" s="7" t="s">
        <v>200</v>
      </c>
      <c r="L993" s="10">
        <f t="shared" si="60"/>
        <v>1.0000000008149073</v>
      </c>
      <c r="M993" s="10">
        <f t="shared" si="61"/>
        <v>5.7000000000698492</v>
      </c>
      <c r="N993" s="10">
        <f t="shared" si="62"/>
        <v>10.700000001699664</v>
      </c>
      <c r="O993" s="7" t="str">
        <f>IF(ISBLANK(I993),"N/A",IF(((I993-H993)*24)&gt;INDEX(Dim_ServiceType!$E$2:$E$16,MATCH(E993,Dim_ServiceType!$A$2:$A$16,0)),"Yes","No"))</f>
        <v>No</v>
      </c>
      <c r="P993" s="7" t="str">
        <f t="shared" si="63"/>
        <v>Closed</v>
      </c>
      <c r="Q993" s="6">
        <v>2</v>
      </c>
      <c r="R993" s="7" t="s">
        <v>196</v>
      </c>
    </row>
    <row r="994" spans="1:18" x14ac:dyDescent="0.35">
      <c r="A994" s="6">
        <v>993</v>
      </c>
      <c r="B994" s="7" t="s">
        <v>1190</v>
      </c>
      <c r="C994" s="6">
        <v>11</v>
      </c>
      <c r="D994" s="6">
        <v>13</v>
      </c>
      <c r="E994" s="6">
        <v>2</v>
      </c>
      <c r="F994" s="6">
        <v>6</v>
      </c>
      <c r="G994" s="9">
        <v>45941.0806481482</v>
      </c>
      <c r="H994" s="9">
        <v>45942.0806481482</v>
      </c>
      <c r="I994" s="9">
        <v>45942.443148148202</v>
      </c>
      <c r="J994" s="9">
        <v>45943.443148148202</v>
      </c>
      <c r="K994" s="7" t="s">
        <v>195</v>
      </c>
      <c r="L994" s="10">
        <f t="shared" si="60"/>
        <v>24</v>
      </c>
      <c r="M994" s="10">
        <f t="shared" si="61"/>
        <v>8.7000000000698492</v>
      </c>
      <c r="N994" s="10">
        <f t="shared" si="62"/>
        <v>56.700000000069849</v>
      </c>
      <c r="O994" s="7" t="str">
        <f>IF(ISBLANK(I994),"N/A",IF(((I994-H994)*24)&gt;INDEX(Dim_ServiceType!$E$2:$E$16,MATCH(E994,Dim_ServiceType!$A$2:$A$16,0)),"Yes","No"))</f>
        <v>Yes</v>
      </c>
      <c r="P994" s="7" t="str">
        <f t="shared" si="63"/>
        <v>Closed</v>
      </c>
      <c r="Q994" s="6">
        <v>3</v>
      </c>
      <c r="R994" s="7" t="s">
        <v>196</v>
      </c>
    </row>
    <row r="995" spans="1:18" x14ac:dyDescent="0.35">
      <c r="A995" s="6">
        <v>994</v>
      </c>
      <c r="B995" s="7" t="s">
        <v>1191</v>
      </c>
      <c r="C995" s="6">
        <v>13</v>
      </c>
      <c r="D995" s="6">
        <v>4</v>
      </c>
      <c r="E995" s="6">
        <v>4</v>
      </c>
      <c r="F995" s="6">
        <v>3</v>
      </c>
      <c r="G995" s="9">
        <v>45766.392465277801</v>
      </c>
      <c r="H995" s="9">
        <v>45767.142465277801</v>
      </c>
      <c r="I995" s="9">
        <v>45767.471631944398</v>
      </c>
      <c r="J995" s="9">
        <v>45767.513298611098</v>
      </c>
      <c r="K995" s="7" t="s">
        <v>207</v>
      </c>
      <c r="L995" s="10">
        <f t="shared" si="60"/>
        <v>18</v>
      </c>
      <c r="M995" s="10">
        <f t="shared" si="61"/>
        <v>7.8999999983352609</v>
      </c>
      <c r="N995" s="10">
        <f t="shared" si="62"/>
        <v>26.899999999150168</v>
      </c>
      <c r="O995" s="7" t="str">
        <f>IF(ISBLANK(I995),"N/A",IF(((I995-H995)*24)&gt;INDEX(Dim_ServiceType!$E$2:$E$16,MATCH(E995,Dim_ServiceType!$A$2:$A$16,0)),"Yes","No"))</f>
        <v>No</v>
      </c>
      <c r="P995" s="7" t="str">
        <f t="shared" si="63"/>
        <v>Closed</v>
      </c>
      <c r="Q995" s="6">
        <v>1</v>
      </c>
      <c r="R995" s="7" t="s">
        <v>193</v>
      </c>
    </row>
    <row r="996" spans="1:18" x14ac:dyDescent="0.35">
      <c r="A996" s="6">
        <v>995</v>
      </c>
      <c r="B996" s="7" t="s">
        <v>1192</v>
      </c>
      <c r="C996" s="6">
        <v>13</v>
      </c>
      <c r="D996" s="6">
        <v>12</v>
      </c>
      <c r="E996" s="6">
        <v>3</v>
      </c>
      <c r="F996" s="6">
        <v>4</v>
      </c>
      <c r="G996" s="9">
        <v>45814.4237615741</v>
      </c>
      <c r="H996" s="9">
        <v>45814.4445949074</v>
      </c>
      <c r="I996" s="9"/>
      <c r="J996" s="9"/>
      <c r="K996" s="7" t="s">
        <v>200</v>
      </c>
      <c r="L996" s="10">
        <f t="shared" si="60"/>
        <v>0.49999999918509275</v>
      </c>
      <c r="M996" s="10" t="str">
        <f t="shared" si="61"/>
        <v/>
      </c>
      <c r="N996" s="10" t="str">
        <f t="shared" si="62"/>
        <v/>
      </c>
      <c r="O996" s="7" t="str">
        <f>IF(ISBLANK(I996),"N/A",IF(((I996-H996)*24)&gt;INDEX(Dim_ServiceType!$E$2:$E$16,MATCH(E996,Dim_ServiceType!$A$2:$A$16,0)),"Yes","No"))</f>
        <v>N/A</v>
      </c>
      <c r="P996" s="7" t="str">
        <f t="shared" si="63"/>
        <v>In Progress</v>
      </c>
      <c r="Q996" s="6"/>
      <c r="R996" s="7"/>
    </row>
    <row r="997" spans="1:18" x14ac:dyDescent="0.35">
      <c r="A997" s="6">
        <v>996</v>
      </c>
      <c r="B997" s="7" t="s">
        <v>1193</v>
      </c>
      <c r="C997" s="6">
        <v>10</v>
      </c>
      <c r="D997" s="6">
        <v>1</v>
      </c>
      <c r="E997" s="6">
        <v>12</v>
      </c>
      <c r="F997" s="6">
        <v>15</v>
      </c>
      <c r="G997" s="9">
        <v>45715.980752314797</v>
      </c>
      <c r="H997" s="9">
        <v>45716.147418981498</v>
      </c>
      <c r="I997" s="9">
        <v>45717.097418981502</v>
      </c>
      <c r="J997" s="9">
        <v>45717.264085648101</v>
      </c>
      <c r="K997" s="7" t="s">
        <v>198</v>
      </c>
      <c r="L997" s="10">
        <f t="shared" si="60"/>
        <v>4.0000000008149073</v>
      </c>
      <c r="M997" s="10">
        <f t="shared" si="61"/>
        <v>22.800000000104774</v>
      </c>
      <c r="N997" s="10">
        <f t="shared" si="62"/>
        <v>30.799999999289867</v>
      </c>
      <c r="O997" s="7" t="str">
        <f>IF(ISBLANK(I997),"N/A",IF(((I997-H997)*24)&gt;INDEX(Dim_ServiceType!$E$2:$E$16,MATCH(E997,Dim_ServiceType!$A$2:$A$16,0)),"Yes","No"))</f>
        <v>No</v>
      </c>
      <c r="P997" s="7" t="str">
        <f t="shared" si="63"/>
        <v>Closed</v>
      </c>
      <c r="Q997" s="6">
        <v>4</v>
      </c>
      <c r="R997" s="7" t="s">
        <v>193</v>
      </c>
    </row>
    <row r="998" spans="1:18" x14ac:dyDescent="0.35">
      <c r="A998" s="6">
        <v>997</v>
      </c>
      <c r="B998" s="7" t="s">
        <v>1194</v>
      </c>
      <c r="C998" s="6">
        <v>9</v>
      </c>
      <c r="D998" s="6">
        <v>1</v>
      </c>
      <c r="E998" s="6">
        <v>6</v>
      </c>
      <c r="F998" s="6">
        <v>5</v>
      </c>
      <c r="G998" s="9">
        <v>45932.265393518501</v>
      </c>
      <c r="H998" s="9">
        <v>45932.765393518501</v>
      </c>
      <c r="I998" s="9">
        <v>45935.348726851902</v>
      </c>
      <c r="J998" s="9">
        <v>45935.848726851902</v>
      </c>
      <c r="K998" s="7" t="s">
        <v>198</v>
      </c>
      <c r="L998" s="10">
        <f t="shared" si="60"/>
        <v>12</v>
      </c>
      <c r="M998" s="10">
        <f t="shared" si="61"/>
        <v>62.000000001629815</v>
      </c>
      <c r="N998" s="10">
        <f t="shared" si="62"/>
        <v>86.000000001629815</v>
      </c>
      <c r="O998" s="7" t="str">
        <f>IF(ISBLANK(I998),"N/A",IF(((I998-H998)*24)&gt;INDEX(Dim_ServiceType!$E$2:$E$16,MATCH(E998,Dim_ServiceType!$A$2:$A$16,0)),"Yes","No"))</f>
        <v>Yes</v>
      </c>
      <c r="P998" s="7" t="str">
        <f t="shared" si="63"/>
        <v>Closed</v>
      </c>
      <c r="Q998" s="6">
        <v>5</v>
      </c>
      <c r="R998" s="7" t="s">
        <v>193</v>
      </c>
    </row>
    <row r="999" spans="1:18" x14ac:dyDescent="0.35">
      <c r="A999" s="6">
        <v>998</v>
      </c>
      <c r="B999" s="7" t="s">
        <v>1195</v>
      </c>
      <c r="C999" s="6">
        <v>8</v>
      </c>
      <c r="D999" s="6">
        <v>9</v>
      </c>
      <c r="E999" s="6">
        <v>8</v>
      </c>
      <c r="F999" s="6">
        <v>8</v>
      </c>
      <c r="G999" s="9">
        <v>45742.798425925903</v>
      </c>
      <c r="H999" s="9">
        <v>45742.923425925903</v>
      </c>
      <c r="I999" s="9">
        <v>45743.035925925898</v>
      </c>
      <c r="J999" s="9">
        <v>45743.285925925898</v>
      </c>
      <c r="K999" s="7" t="s">
        <v>207</v>
      </c>
      <c r="L999" s="10">
        <f t="shared" si="60"/>
        <v>3</v>
      </c>
      <c r="M999" s="10">
        <f t="shared" si="61"/>
        <v>2.6999999998952262</v>
      </c>
      <c r="N999" s="10">
        <f t="shared" si="62"/>
        <v>11.699999999895226</v>
      </c>
      <c r="O999" s="7" t="str">
        <f>IF(ISBLANK(I999),"N/A",IF(((I999-H999)*24)&gt;INDEX(Dim_ServiceType!$E$2:$E$16,MATCH(E999,Dim_ServiceType!$A$2:$A$16,0)),"Yes","No"))</f>
        <v>No</v>
      </c>
      <c r="P999" s="7" t="str">
        <f t="shared" si="63"/>
        <v>Closed</v>
      </c>
      <c r="Q999" s="6">
        <v>4</v>
      </c>
      <c r="R999" s="7" t="s">
        <v>196</v>
      </c>
    </row>
    <row r="1000" spans="1:18" x14ac:dyDescent="0.35">
      <c r="A1000" s="6">
        <v>999</v>
      </c>
      <c r="B1000" s="7" t="s">
        <v>1196</v>
      </c>
      <c r="C1000" s="6">
        <v>3</v>
      </c>
      <c r="D1000" s="6">
        <v>5</v>
      </c>
      <c r="E1000" s="6">
        <v>11</v>
      </c>
      <c r="F1000" s="6">
        <v>8</v>
      </c>
      <c r="G1000" s="9">
        <v>45826.633240740703</v>
      </c>
      <c r="H1000" s="9">
        <v>45826.716574074097</v>
      </c>
      <c r="I1000" s="9">
        <v>45826.920740740701</v>
      </c>
      <c r="J1000" s="9">
        <v>45827.087407407402</v>
      </c>
      <c r="K1000" s="7" t="s">
        <v>200</v>
      </c>
      <c r="L1000" s="10">
        <f t="shared" si="60"/>
        <v>2.0000000014551915</v>
      </c>
      <c r="M1000" s="10">
        <f t="shared" si="61"/>
        <v>4.8999999985098839</v>
      </c>
      <c r="N1000" s="10">
        <f t="shared" si="62"/>
        <v>10.900000000779983</v>
      </c>
      <c r="O1000" s="7" t="str">
        <f>IF(ISBLANK(I1000),"N/A",IF(((I1000-H1000)*24)&gt;INDEX(Dim_ServiceType!$E$2:$E$16,MATCH(E1000,Dim_ServiceType!$A$2:$A$16,0)),"Yes","No"))</f>
        <v>No</v>
      </c>
      <c r="P1000" s="7" t="str">
        <f t="shared" si="63"/>
        <v>Closed</v>
      </c>
      <c r="Q1000" s="6">
        <v>5</v>
      </c>
      <c r="R1000" s="7" t="s">
        <v>196</v>
      </c>
    </row>
    <row r="1001" spans="1:18" x14ac:dyDescent="0.35">
      <c r="A1001" s="6">
        <v>1000</v>
      </c>
      <c r="B1001" s="7" t="s">
        <v>1197</v>
      </c>
      <c r="C1001" s="6">
        <v>11</v>
      </c>
      <c r="D1001" s="6">
        <v>7</v>
      </c>
      <c r="E1001" s="6">
        <v>13</v>
      </c>
      <c r="F1001" s="6">
        <v>2</v>
      </c>
      <c r="G1001" s="9">
        <v>45830.8212152778</v>
      </c>
      <c r="H1001" s="9">
        <v>45831.0712152778</v>
      </c>
      <c r="I1001" s="9">
        <v>45832.267048611102</v>
      </c>
      <c r="J1001" s="9">
        <v>45833.267048611102</v>
      </c>
      <c r="K1001" s="7" t="s">
        <v>192</v>
      </c>
      <c r="L1001" s="10">
        <f t="shared" si="60"/>
        <v>6</v>
      </c>
      <c r="M1001" s="10">
        <f t="shared" si="61"/>
        <v>28.699999999254942</v>
      </c>
      <c r="N1001" s="10">
        <f t="shared" si="62"/>
        <v>58.699999999254942</v>
      </c>
      <c r="O1001" s="7" t="str">
        <f>IF(ISBLANK(I1001),"N/A",IF(((I1001-H1001)*24)&gt;INDEX(Dim_ServiceType!$E$2:$E$16,MATCH(E1001,Dim_ServiceType!$A$2:$A$16,0)),"Yes","No"))</f>
        <v>Yes</v>
      </c>
      <c r="P1001" s="7" t="str">
        <f t="shared" si="63"/>
        <v>Closed</v>
      </c>
      <c r="Q1001" s="6">
        <v>5</v>
      </c>
      <c r="R1001" s="7" t="s">
        <v>196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Dim_Plan</vt:lpstr>
      <vt:lpstr>Dim_Region</vt:lpstr>
      <vt:lpstr>Dim_ServiceType</vt:lpstr>
      <vt:lpstr>Dim_Agent</vt:lpstr>
      <vt:lpstr>Dim_Date</vt:lpstr>
      <vt:lpstr>Fact_Ticket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t71434</cp:lastModifiedBy>
  <cp:revision>0</cp:revision>
  <dcterms:created xsi:type="dcterms:W3CDTF">2026-07-29T06:12:24Z</dcterms:created>
  <dcterms:modified xsi:type="dcterms:W3CDTF">2026-09-03T06:32:27Z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2026-07-29T13:55:28Z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59c38470-a71c-447b-86cd-e532c5a636ec</vt:lpwstr>
  </property>
  <property fmtid="{D5CDD505-2E9C-101B-9397-08002B2CF9AE}" pid="7" name="MSIP_Label_defa4170-0d19-0005-0004-bc88714345d2_ActionId">
    <vt:lpwstr>a3b19b86-0136-44d6-91fe-3ab549f72502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